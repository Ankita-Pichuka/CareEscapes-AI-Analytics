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NORTHEASTERN FOLDERS\NORTHEASTERN WINTER 2026\ALY6080  20306 WINTER 2026 TUESDAY\"/>
    </mc:Choice>
  </mc:AlternateContent>
  <xr:revisionPtr revIDLastSave="0" documentId="8_{9F86E07F-F759-4BCE-B56D-243D4C5F89F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Costing table" sheetId="2" r:id="rId2"/>
    <sheet name="Financial Table" sheetId="3" r:id="rId3"/>
    <sheet name="Co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d0LX9J/PqOawV0LsV7LOuSweXdN2dYXKYvBP10qIMs="/>
    </ext>
  </extLst>
</workbook>
</file>

<file path=xl/calcChain.xml><?xml version="1.0" encoding="utf-8"?>
<calcChain xmlns="http://schemas.openxmlformats.org/spreadsheetml/2006/main">
  <c r="Z61" i="4" l="1"/>
  <c r="Y61" i="4"/>
  <c r="X61" i="4"/>
  <c r="W61" i="4"/>
  <c r="V61" i="4"/>
  <c r="E41" i="4"/>
  <c r="C41" i="4"/>
  <c r="B40" i="4"/>
  <c r="B41" i="4" s="1"/>
  <c r="A40" i="4"/>
  <c r="A41" i="4" s="1"/>
  <c r="Y39" i="4"/>
  <c r="X39" i="4"/>
  <c r="W39" i="4"/>
  <c r="B39" i="4"/>
  <c r="G39" i="4" s="1"/>
  <c r="A39" i="4"/>
  <c r="F39" i="4" s="1"/>
  <c r="AA38" i="4"/>
  <c r="Z60" i="4" s="1"/>
  <c r="Z38" i="4"/>
  <c r="Y60" i="4" s="1"/>
  <c r="Y38" i="4"/>
  <c r="X60" i="4" s="1"/>
  <c r="X38" i="4"/>
  <c r="W60" i="4" s="1"/>
  <c r="W38" i="4"/>
  <c r="V60" i="4" s="1"/>
  <c r="B38" i="4"/>
  <c r="G38" i="4" s="1"/>
  <c r="A38" i="4"/>
  <c r="F38" i="4" s="1"/>
  <c r="F37" i="4"/>
  <c r="B37" i="4"/>
  <c r="G37" i="4" s="1"/>
  <c r="A37" i="4"/>
  <c r="G36" i="4"/>
  <c r="F36" i="4"/>
  <c r="B36" i="4"/>
  <c r="A36" i="4"/>
  <c r="AA35" i="4"/>
  <c r="Z35" i="4"/>
  <c r="Y35" i="4"/>
  <c r="X35" i="4"/>
  <c r="W35" i="4"/>
  <c r="AA34" i="4"/>
  <c r="Z59" i="4" s="1"/>
  <c r="Z34" i="4"/>
  <c r="Y59" i="4" s="1"/>
  <c r="Y34" i="4"/>
  <c r="X59" i="4" s="1"/>
  <c r="W34" i="4"/>
  <c r="X34" i="4" s="1"/>
  <c r="W59" i="4" s="1"/>
  <c r="AA31" i="4"/>
  <c r="Y31" i="4"/>
  <c r="X31" i="4"/>
  <c r="W31" i="4"/>
  <c r="Z31" i="4" s="1"/>
  <c r="AA30" i="4"/>
  <c r="Z58" i="4" s="1"/>
  <c r="Z30" i="4"/>
  <c r="Y58" i="4" s="1"/>
  <c r="Y30" i="4"/>
  <c r="X58" i="4" s="1"/>
  <c r="W30" i="4"/>
  <c r="V58" i="4" s="1"/>
  <c r="AA27" i="4"/>
  <c r="Z27" i="4"/>
  <c r="Y27" i="4"/>
  <c r="X27" i="4"/>
  <c r="W27" i="4"/>
  <c r="AA26" i="4"/>
  <c r="Z57" i="4" s="1"/>
  <c r="Z26" i="4"/>
  <c r="Y57" i="4" s="1"/>
  <c r="Y26" i="4"/>
  <c r="X57" i="4" s="1"/>
  <c r="X26" i="4"/>
  <c r="W57" i="4" s="1"/>
  <c r="W26" i="4"/>
  <c r="V57" i="4" s="1"/>
  <c r="D25" i="4"/>
  <c r="D24" i="4"/>
  <c r="AA23" i="4"/>
  <c r="Z23" i="4"/>
  <c r="Y23" i="4"/>
  <c r="X23" i="4"/>
  <c r="W23" i="4"/>
  <c r="H23" i="4"/>
  <c r="D23" i="4"/>
  <c r="AA22" i="4"/>
  <c r="Z22" i="4"/>
  <c r="Y22" i="4"/>
  <c r="X22" i="4"/>
  <c r="W22" i="4"/>
  <c r="D22" i="4"/>
  <c r="AA21" i="4"/>
  <c r="Z56" i="4" s="1"/>
  <c r="Z21" i="4"/>
  <c r="Y56" i="4" s="1"/>
  <c r="Y21" i="4"/>
  <c r="X56" i="4" s="1"/>
  <c r="X21" i="4"/>
  <c r="W56" i="4" s="1"/>
  <c r="W21" i="4"/>
  <c r="V56" i="4" s="1"/>
  <c r="D21" i="4"/>
  <c r="D20" i="4"/>
  <c r="D19" i="4"/>
  <c r="AA18" i="4"/>
  <c r="Z18" i="4"/>
  <c r="Y18" i="4"/>
  <c r="X18" i="4"/>
  <c r="W18" i="4"/>
  <c r="C18" i="4"/>
  <c r="AA17" i="4"/>
  <c r="Z17" i="4"/>
  <c r="Y17" i="4"/>
  <c r="X17" i="4"/>
  <c r="W17" i="4"/>
  <c r="D17" i="4"/>
  <c r="C17" i="4" s="1"/>
  <c r="AA16" i="4"/>
  <c r="Z16" i="4"/>
  <c r="Y16" i="4"/>
  <c r="X16" i="4"/>
  <c r="W16" i="4"/>
  <c r="D16" i="4"/>
  <c r="C16" i="4" s="1"/>
  <c r="AA15" i="4"/>
  <c r="Z55" i="4" s="1"/>
  <c r="Z15" i="4"/>
  <c r="Y55" i="4" s="1"/>
  <c r="Y15" i="4"/>
  <c r="X55" i="4" s="1"/>
  <c r="X15" i="4"/>
  <c r="W55" i="4" s="1"/>
  <c r="W15" i="4"/>
  <c r="V55" i="4" s="1"/>
  <c r="D15" i="4"/>
  <c r="K14" i="4"/>
  <c r="H14" i="4"/>
  <c r="D14" i="4"/>
  <c r="C14" i="4"/>
  <c r="Z12" i="4"/>
  <c r="Y12" i="4"/>
  <c r="X12" i="4"/>
  <c r="W12" i="4"/>
  <c r="AA12" i="4" s="1"/>
  <c r="I12" i="4"/>
  <c r="AA11" i="4"/>
  <c r="Z11" i="4"/>
  <c r="Y11" i="4"/>
  <c r="X11" i="4"/>
  <c r="W11" i="4"/>
  <c r="AA10" i="4"/>
  <c r="Z54" i="4" s="1"/>
  <c r="Z10" i="4"/>
  <c r="X10" i="4"/>
  <c r="W10" i="4"/>
  <c r="Y10" i="4" s="1"/>
  <c r="B10" i="4"/>
  <c r="A10" i="4"/>
  <c r="Z9" i="4"/>
  <c r="Y54" i="4" s="1"/>
  <c r="Y9" i="4"/>
  <c r="X9" i="4"/>
  <c r="W54" i="4" s="1"/>
  <c r="W9" i="4"/>
  <c r="V54" i="4" s="1"/>
  <c r="B9" i="4"/>
  <c r="A9" i="4"/>
  <c r="B8" i="4"/>
  <c r="A8" i="4"/>
  <c r="R7" i="4"/>
  <c r="J7" i="4"/>
  <c r="B7" i="4"/>
  <c r="A7" i="4"/>
  <c r="Y6" i="4"/>
  <c r="X6" i="4"/>
  <c r="W6" i="4"/>
  <c r="B6" i="4"/>
  <c r="A6" i="4"/>
  <c r="X5" i="4"/>
  <c r="Y5" i="4" s="1"/>
  <c r="W5" i="4"/>
  <c r="R5" i="4"/>
  <c r="Q5" i="4"/>
  <c r="P5" i="4"/>
  <c r="P7" i="4" s="1"/>
  <c r="O5" i="4"/>
  <c r="N5" i="4"/>
  <c r="K5" i="4"/>
  <c r="J5" i="4"/>
  <c r="J14" i="4" s="1"/>
  <c r="I5" i="4"/>
  <c r="I14" i="4" s="1"/>
  <c r="H5" i="4"/>
  <c r="G5" i="4"/>
  <c r="G14" i="4" s="1"/>
  <c r="B5" i="4"/>
  <c r="A5" i="4"/>
  <c r="W4" i="4"/>
  <c r="X4" i="4" s="1"/>
  <c r="Y4" i="4" s="1"/>
  <c r="Z4" i="4" s="1"/>
  <c r="AA4" i="4" s="1"/>
  <c r="K4" i="4"/>
  <c r="K13" i="4" s="1"/>
  <c r="J4" i="4"/>
  <c r="J13" i="4" s="1"/>
  <c r="I4" i="4"/>
  <c r="I13" i="4" s="1"/>
  <c r="H4" i="4"/>
  <c r="H13" i="4" s="1"/>
  <c r="G4" i="4"/>
  <c r="G7" i="4" s="1"/>
  <c r="B4" i="4"/>
  <c r="A4" i="4"/>
  <c r="W3" i="4"/>
  <c r="V53" i="4" s="1"/>
  <c r="R3" i="4"/>
  <c r="Q3" i="4"/>
  <c r="Q7" i="4" s="1"/>
  <c r="P3" i="4"/>
  <c r="O3" i="4"/>
  <c r="O7" i="4" s="1"/>
  <c r="N3" i="4"/>
  <c r="N7" i="4" s="1"/>
  <c r="K3" i="4"/>
  <c r="K12" i="4" s="1"/>
  <c r="J3" i="4"/>
  <c r="J12" i="4" s="1"/>
  <c r="I3" i="4"/>
  <c r="I7" i="4" s="1"/>
  <c r="H3" i="4"/>
  <c r="H7" i="4" s="1"/>
  <c r="G3" i="4"/>
  <c r="G12" i="4" s="1"/>
  <c r="B3" i="4"/>
  <c r="A3" i="4"/>
  <c r="E16" i="3"/>
  <c r="D16" i="3"/>
  <c r="E15" i="3"/>
  <c r="D15" i="3"/>
  <c r="E14" i="3"/>
  <c r="D14" i="3"/>
  <c r="E13" i="3"/>
  <c r="D13" i="3"/>
  <c r="E12" i="3"/>
  <c r="D12" i="3"/>
  <c r="B58" i="2"/>
  <c r="B57" i="2"/>
  <c r="B56" i="2"/>
  <c r="B59" i="2" s="1"/>
  <c r="M24" i="2"/>
  <c r="M29" i="2" s="1"/>
  <c r="H23" i="2"/>
  <c r="G23" i="2"/>
  <c r="O22" i="2"/>
  <c r="N22" i="2"/>
  <c r="M22" i="2"/>
  <c r="L22" i="2"/>
  <c r="K22" i="2"/>
  <c r="O21" i="2"/>
  <c r="N21" i="2"/>
  <c r="M21" i="2"/>
  <c r="L21" i="2"/>
  <c r="K21" i="2"/>
  <c r="K24" i="2" s="1"/>
  <c r="O20" i="2"/>
  <c r="O24" i="2" s="1"/>
  <c r="O29" i="2" s="1"/>
  <c r="N20" i="2"/>
  <c r="N24" i="2" s="1"/>
  <c r="N29" i="2" s="1"/>
  <c r="M20" i="2"/>
  <c r="L20" i="2"/>
  <c r="L24" i="2" s="1"/>
  <c r="L29" i="2" s="1"/>
  <c r="K20" i="2"/>
  <c r="S9" i="2"/>
  <c r="K7" i="2"/>
  <c r="J7" i="2"/>
  <c r="K6" i="2"/>
  <c r="J6" i="2"/>
  <c r="K5" i="2"/>
  <c r="J5" i="2"/>
  <c r="K4" i="2"/>
  <c r="J4" i="2"/>
  <c r="K3" i="2"/>
  <c r="J3" i="2"/>
  <c r="B144" i="1"/>
  <c r="I16" i="4" l="1"/>
  <c r="X54" i="4"/>
  <c r="G59" i="2"/>
  <c r="F59" i="2"/>
  <c r="E59" i="2"/>
  <c r="D59" i="2"/>
  <c r="C59" i="2"/>
  <c r="J16" i="4"/>
  <c r="K16" i="4"/>
  <c r="K7" i="4"/>
  <c r="F40" i="4"/>
  <c r="F41" i="4" s="1"/>
  <c r="G40" i="4"/>
  <c r="G41" i="4" s="1"/>
  <c r="G13" i="4"/>
  <c r="G16" i="4" s="1"/>
  <c r="G18" i="4" s="1"/>
  <c r="X30" i="4"/>
  <c r="W58" i="4" s="1"/>
  <c r="X3" i="4"/>
  <c r="K29" i="2"/>
  <c r="W48" i="4"/>
  <c r="H12" i="4"/>
  <c r="H16" i="4" s="1"/>
  <c r="V59" i="4"/>
  <c r="V62" i="4" s="1"/>
  <c r="H18" i="4" l="1"/>
  <c r="K19" i="4"/>
  <c r="W53" i="4"/>
  <c r="W62" i="4" s="1"/>
  <c r="X48" i="4"/>
  <c r="Y3" i="4"/>
  <c r="Y48" i="4" l="1"/>
  <c r="Z3" i="4"/>
  <c r="X53" i="4"/>
  <c r="X62" i="4" s="1"/>
  <c r="Z48" i="4" l="1"/>
  <c r="AA3" i="4"/>
  <c r="Y53" i="4"/>
  <c r="Y62" i="4" s="1"/>
  <c r="AA48" i="4" l="1"/>
  <c r="Z53" i="4"/>
  <c r="Z62" i="4" s="1"/>
</calcChain>
</file>

<file path=xl/sharedStrings.xml><?xml version="1.0" encoding="utf-8"?>
<sst xmlns="http://schemas.openxmlformats.org/spreadsheetml/2006/main" count="672" uniqueCount="416">
  <si>
    <t>Strengths</t>
  </si>
  <si>
    <t>Weaknesses</t>
  </si>
  <si>
    <t>- AI-driven platform for personalization</t>
  </si>
  <si>
    <t>- High initial marketing costs</t>
  </si>
  <si>
    <t>- Exclusive partnerships with healthcare and travel providers</t>
  </si>
  <si>
    <t>- Brand recognition challenges</t>
  </si>
  <si>
    <t>- End-to-end service: medical care + travel</t>
  </si>
  <si>
    <t>- High regulatory complexity</t>
  </si>
  <si>
    <t>Opportunities</t>
  </si>
  <si>
    <t>Threats</t>
  </si>
  <si>
    <t>- Growing medical tourism demand in the U.S. and Canada</t>
  </si>
  <si>
    <t>- Changes in government regulations</t>
  </si>
  <si>
    <t>- Expansion into new markets</t>
  </si>
  <si>
    <t>- Economic downturns</t>
  </si>
  <si>
    <t>- Community-building features</t>
  </si>
  <si>
    <t>- Technological advancements by competitors</t>
  </si>
  <si>
    <t>actor</t>
  </si>
  <si>
    <t>CareEscapes AI</t>
  </si>
  <si>
    <t>Qunomedical</t>
  </si>
  <si>
    <t>Healthtrip</t>
  </si>
  <si>
    <t xml:space="preserve"> Medigo</t>
  </si>
  <si>
    <t>Importance to Customer</t>
  </si>
  <si>
    <t>Products</t>
  </si>
  <si>
    <t>S</t>
  </si>
  <si>
    <t>W</t>
  </si>
  <si>
    <t>Price</t>
  </si>
  <si>
    <t>Quality</t>
  </si>
  <si>
    <t>Selection</t>
  </si>
  <si>
    <t>Service</t>
  </si>
  <si>
    <t>Reliability</t>
  </si>
  <si>
    <t>Expertise</t>
  </si>
  <si>
    <t>Company Reputation</t>
  </si>
  <si>
    <t>Role</t>
  </si>
  <si>
    <t>Name</t>
  </si>
  <si>
    <t>Responsibilities</t>
  </si>
  <si>
    <t>Founder &amp; CEO</t>
  </si>
  <si>
    <t>Shiv Thakur</t>
  </si>
  <si>
    <t>Vision, strategy, partnerships</t>
  </si>
  <si>
    <t>Cofounder &amp; CTO</t>
  </si>
  <si>
    <t>Yuehan Zhen</t>
  </si>
  <si>
    <t>Technical development, platform maintenance</t>
  </si>
  <si>
    <t>Marketing Lead</t>
  </si>
  <si>
    <t>TBD</t>
  </si>
  <si>
    <t>Digital marketing, content creation, PR</t>
  </si>
  <si>
    <t>Customer Support Lead</t>
  </si>
  <si>
    <t>Managing customer service, patient inquiries</t>
  </si>
  <si>
    <t>CFO (future hire)</t>
  </si>
  <si>
    <t>Financial management, forecasting</t>
  </si>
  <si>
    <t>Advisors</t>
  </si>
  <si>
    <t>Ventz Petkov</t>
  </si>
  <si>
    <t>Strategic advice, business growth</t>
  </si>
  <si>
    <t>Region</t>
  </si>
  <si>
    <t>Country</t>
  </si>
  <si>
    <t>Popular Treatments</t>
  </si>
  <si>
    <t>Growth Drivers</t>
  </si>
  <si>
    <t>Asia-Pacific</t>
  </si>
  <si>
    <t>Thailand, India</t>
  </si>
  <si>
    <t>Orthopedic, Cardiovascular, Cosmetic</t>
  </si>
  <si>
    <t>Affordable care, advanced facilities</t>
  </si>
  <si>
    <t>Latin America</t>
  </si>
  <si>
    <t>Mexico, Costa Rica</t>
  </si>
  <si>
    <t>Dental, Cosmetic</t>
  </si>
  <si>
    <t>Proximity to U.S., cost savings</t>
  </si>
  <si>
    <t>Middle East</t>
  </si>
  <si>
    <t>UAE, Turkey</t>
  </si>
  <si>
    <t>Fertility, Cosmetic</t>
  </si>
  <si>
    <t>High-quality infrastructure, government support</t>
  </si>
  <si>
    <t>Procedure</t>
  </si>
  <si>
    <t>Cost Savings</t>
  </si>
  <si>
    <t>Popular Destinations</t>
  </si>
  <si>
    <t>Orthopedic Surgery</t>
  </si>
  <si>
    <t>50-70%</t>
  </si>
  <si>
    <t>India, Thailand</t>
  </si>
  <si>
    <t>Cardiovascular</t>
  </si>
  <si>
    <t>40-60%</t>
  </si>
  <si>
    <t>Singapore, Thailand</t>
  </si>
  <si>
    <t>Dental Care</t>
  </si>
  <si>
    <t>Market</t>
  </si>
  <si>
    <t>2023 Value (Billion USD)</t>
  </si>
  <si>
    <t>Projected 2028 Value (Billion USD)</t>
  </si>
  <si>
    <t>CAGR (%)</t>
  </si>
  <si>
    <t>US Dental Market</t>
  </si>
  <si>
    <t>Canadian Dental Market</t>
  </si>
  <si>
    <t>North America (USD)</t>
  </si>
  <si>
    <t>Mexico &amp; Costa Rica (USD)</t>
  </si>
  <si>
    <t>Dental Implants</t>
  </si>
  <si>
    <t>$3,000 - $4,500</t>
  </si>
  <si>
    <t>$800 - $1,500</t>
  </si>
  <si>
    <t>Orthodontics (Clear Aligners)</t>
  </si>
  <si>
    <t>$3,000 - $8,000</t>
  </si>
  <si>
    <t>$1,200 - $2,500</t>
  </si>
  <si>
    <t>Full Mouth Reconstruction</t>
  </si>
  <si>
    <t>$30,000 - $100,000</t>
  </si>
  <si>
    <t>$10,000 - $30,000</t>
  </si>
  <si>
    <t>Age Group</t>
  </si>
  <si>
    <t>Percentage of Dental Tourists (%)</t>
  </si>
  <si>
    <t>Treatment Focus</t>
  </si>
  <si>
    <t>18-34 years</t>
  </si>
  <si>
    <t>Approximately 30%</t>
  </si>
  <si>
    <t>Primarily interested in orthodontics and cosmetic treatments</t>
  </si>
  <si>
    <t>35-54 years</t>
  </si>
  <si>
    <t>Around 40%</t>
  </si>
  <si>
    <t>Primarily seek restorative procedures, such as dental implants and full-mouth reconstructions</t>
  </si>
  <si>
    <t>55 years and older</t>
  </si>
  <si>
    <t>Focus on complex treatments like dentures, periodontal surgery, and full-mouth reconstructions</t>
  </si>
  <si>
    <t>Metric</t>
  </si>
  <si>
    <t>Low Estimate</t>
  </si>
  <si>
    <t>High Estimate</t>
  </si>
  <si>
    <t>Average Revenue Per Patient</t>
  </si>
  <si>
    <t>Average Retention Period (Years)</t>
  </si>
  <si>
    <t>Lifetime Value (LTV)</t>
  </si>
  <si>
    <t>Customer Acquisition Cost (CAC)</t>
  </si>
  <si>
    <t>LTV-to-CAC Ratio</t>
  </si>
  <si>
    <t>45.7:1</t>
  </si>
  <si>
    <t>78.3:1</t>
  </si>
  <si>
    <t>Year</t>
  </si>
  <si>
    <t>Revenue Range</t>
  </si>
  <si>
    <t>Profit Range</t>
  </si>
  <si>
    <t>Strategic Focus</t>
  </si>
  <si>
    <t>Year 1</t>
  </si>
  <si>
    <t>$700,000 - $1,200,000</t>
  </si>
  <si>
    <t>-$584,000 - -$84,000</t>
  </si>
  <si>
    <t>Establish brand presence, launch initial marketing, onboard early patients</t>
  </si>
  <si>
    <t>Year 2</t>
  </si>
  <si>
    <t>$3,500,000 - $6,000,000</t>
  </si>
  <si>
    <t>-$50,000 - $2,450,000</t>
  </si>
  <si>
    <t>Scale acquisition efforts, enhance technology, and optimize CAC reduction</t>
  </si>
  <si>
    <t>Year 3</t>
  </si>
  <si>
    <t>$7,000,000 - $12,000,000</t>
  </si>
  <si>
    <t>-$340,000 - $4,660,000</t>
  </si>
  <si>
    <t>Increase retention, expand services, form strategic partnerships</t>
  </si>
  <si>
    <t>Year 4</t>
  </si>
  <si>
    <t>$35,000,000 - $60,000,000</t>
  </si>
  <si>
    <t>$13,465,000 - $38,465,000</t>
  </si>
  <si>
    <t>Drive operational efficiency, enter new markets, focus on customer satisfaction</t>
  </si>
  <si>
    <t>Year 5</t>
  </si>
  <si>
    <t>$105,000,000 - $180,000,000</t>
  </si>
  <si>
    <t>$47,675,000 - $122,675,000</t>
  </si>
  <si>
    <t>Establish market leadership, innovate healthcare technology, ensure growth</t>
  </si>
  <si>
    <t>Use of Capital</t>
  </si>
  <si>
    <t>Amount ($)</t>
  </si>
  <si>
    <t>Technology &amp; Platform Development</t>
  </si>
  <si>
    <t>Marketing &amp; Customer Acquisition</t>
  </si>
  <si>
    <t>Salaries &amp; Hiring</t>
  </si>
  <si>
    <t>Partnerships &amp; Vendor Costs</t>
  </si>
  <si>
    <t>Customer Support &amp; Concierge</t>
  </si>
  <si>
    <t>Legal, Compliance, and Insurance</t>
  </si>
  <si>
    <t>Office &amp; Administrative Expenses</t>
  </si>
  <si>
    <t>Miscellaneous &amp; Contingency Fund</t>
  </si>
  <si>
    <t>Total Start-up Expenses</t>
  </si>
  <si>
    <t>START-UP EXPENSES</t>
  </si>
  <si>
    <t>Expense Item</t>
  </si>
  <si>
    <t>Cost ($)</t>
  </si>
  <si>
    <t>Initial Platform Development</t>
  </si>
  <si>
    <t>Ongoing Maintenance &amp; Updates</t>
  </si>
  <si>
    <t>Cloud Hosting &amp; Storage</t>
  </si>
  <si>
    <t>AI Licensing/Development</t>
  </si>
  <si>
    <t>Executive Salaries</t>
  </si>
  <si>
    <t>Engineers &amp; Data Scientists</t>
  </si>
  <si>
    <t>Marketing &amp; Sales Staff</t>
  </si>
  <si>
    <t>Customer Support/Concierge</t>
  </si>
  <si>
    <t>Medical Partnerships (Setup)</t>
  </si>
  <si>
    <t>Travel Vendor Partnerships (Setup)</t>
  </si>
  <si>
    <t>Ongoing Partnership Management</t>
  </si>
  <si>
    <t>Digital Marketing</t>
  </si>
  <si>
    <t>PR &amp; Events</t>
  </si>
  <si>
    <t>Legal Fees</t>
  </si>
  <si>
    <t>Insurance</t>
  </si>
  <si>
    <t>Office Rent</t>
  </si>
  <si>
    <t>Additional Travel Costs</t>
  </si>
  <si>
    <t>Contingency Fund</t>
  </si>
  <si>
    <t>Financing</t>
  </si>
  <si>
    <t>Start-up Financing</t>
  </si>
  <si>
    <t>Costs</t>
  </si>
  <si>
    <t>3 Days</t>
  </si>
  <si>
    <t>United States (USD)</t>
  </si>
  <si>
    <t>Canada (USD)</t>
  </si>
  <si>
    <t>Costa Rica (USD)</t>
  </si>
  <si>
    <t>Round-trip Flight (from U.S.)</t>
  </si>
  <si>
    <t>Average Hotel Cost (per night)</t>
  </si>
  <si>
    <t>Estimated Hotel Stay 1--7 days</t>
  </si>
  <si>
    <t>Total Estimate costs</t>
  </si>
  <si>
    <t xml:space="preserve">Mean </t>
  </si>
  <si>
    <t>Profit without Paying Salary</t>
  </si>
  <si>
    <t>Single Dental Implant</t>
  </si>
  <si>
    <t>$3,000 - $5,000</t>
  </si>
  <si>
    <t>$2,800 - $4,500</t>
  </si>
  <si>
    <t>$230 - $400</t>
  </si>
  <si>
    <t>$60 - $120</t>
  </si>
  <si>
    <t>$60 - $840</t>
  </si>
  <si>
    <t>$1090 - $2740</t>
  </si>
  <si>
    <t>Lisa</t>
  </si>
  <si>
    <t xml:space="preserve">Shiv </t>
  </si>
  <si>
    <t xml:space="preserve"> 1- Medical Mediator </t>
  </si>
  <si>
    <t xml:space="preserve">1- Travel &amp; Hotel </t>
  </si>
  <si>
    <t xml:space="preserve">2 - Customer support </t>
  </si>
  <si>
    <t>Abutment and Crown</t>
  </si>
  <si>
    <t>$1,500 - $3,000</t>
  </si>
  <si>
    <t>$1,500 - $2,500</t>
  </si>
  <si>
    <t>$770 - $1,500</t>
  </si>
  <si>
    <t>$1060 - $2740</t>
  </si>
  <si>
    <t xml:space="preserve"> 4- Medical Mediator </t>
  </si>
  <si>
    <t xml:space="preserve">2- Travel &amp; 2 Hotel </t>
  </si>
  <si>
    <t xml:space="preserve">10 - Customer support </t>
  </si>
  <si>
    <t>Full Arch Restoration (All-on-4 per arch)</t>
  </si>
  <si>
    <t>$25,000 - $40,000</t>
  </si>
  <si>
    <t>$20,000 - $35,000</t>
  </si>
  <si>
    <t>$8,500 - $14,000</t>
  </si>
  <si>
    <t>$8790- $15240</t>
  </si>
  <si>
    <t xml:space="preserve"> 8- Medical Mediator </t>
  </si>
  <si>
    <t xml:space="preserve">4- Travel &amp; 4 Hotel </t>
  </si>
  <si>
    <t xml:space="preserve">20 - Customer support </t>
  </si>
  <si>
    <t>Full Mouth Restoration (Two arches)</t>
  </si>
  <si>
    <t>$60,000 - $80,000</t>
  </si>
  <si>
    <t>$55,000 - $75,000</t>
  </si>
  <si>
    <t>$16,000 - $30,000</t>
  </si>
  <si>
    <t>$16290- $31240</t>
  </si>
  <si>
    <t xml:space="preserve">12- Medical Mediator </t>
  </si>
  <si>
    <t xml:space="preserve">6- Travel &amp; 6 Hotel </t>
  </si>
  <si>
    <t xml:space="preserve">30 - Customer support </t>
  </si>
  <si>
    <t xml:space="preserve"> 15- Medical Mediator </t>
  </si>
  <si>
    <t xml:space="preserve">8- Travel &amp; 8 Hotel </t>
  </si>
  <si>
    <t xml:space="preserve">50 - Customer support </t>
  </si>
  <si>
    <t>Mexico (USD)</t>
  </si>
  <si>
    <t>100K-150K</t>
  </si>
  <si>
    <t>100K-140K</t>
  </si>
  <si>
    <t>80K-100K</t>
  </si>
  <si>
    <t>40K-60K</t>
  </si>
  <si>
    <t>$700 - $1,000</t>
  </si>
  <si>
    <t>$200 - $350</t>
  </si>
  <si>
    <t>$50 - $100</t>
  </si>
  <si>
    <t>$50 - $700</t>
  </si>
  <si>
    <t>$950 - $2050</t>
  </si>
  <si>
    <t>$600 - $1,200</t>
  </si>
  <si>
    <t>$850 - $2250</t>
  </si>
  <si>
    <t>1.5M</t>
  </si>
  <si>
    <t>$8,500 - $13,000</t>
  </si>
  <si>
    <t>$8750- $14050</t>
  </si>
  <si>
    <t>2.5M</t>
  </si>
  <si>
    <t>$15,000 - $26,000</t>
  </si>
  <si>
    <t>$15250- $261050</t>
  </si>
  <si>
    <t>4M</t>
  </si>
  <si>
    <t xml:space="preserve">6M </t>
  </si>
  <si>
    <t>Time</t>
  </si>
  <si>
    <t>United States (Wait Time)</t>
  </si>
  <si>
    <t>Canada (Wait Time)</t>
  </si>
  <si>
    <t>Costa Rica (Flight+travel)</t>
  </si>
  <si>
    <t>Mexico (Flight + travel)</t>
  </si>
  <si>
    <t>1-3 months</t>
  </si>
  <si>
    <t>2-4 months</t>
  </si>
  <si>
    <t>2-8 days</t>
  </si>
  <si>
    <t>per person</t>
  </si>
  <si>
    <t xml:space="preserve">Operation </t>
  </si>
  <si>
    <t>1-2 months</t>
  </si>
  <si>
    <t>2-3 months</t>
  </si>
  <si>
    <t>Hotel</t>
  </si>
  <si>
    <t>3-6 months</t>
  </si>
  <si>
    <t>Medical</t>
  </si>
  <si>
    <t>6-12 months</t>
  </si>
  <si>
    <t>Airplane</t>
  </si>
  <si>
    <t>Employees</t>
  </si>
  <si>
    <t>Schedule ahead</t>
  </si>
  <si>
    <t>Costa Rica (Wait Time)</t>
  </si>
  <si>
    <t>Mexico (Wait Time)</t>
  </si>
  <si>
    <t>1-7 days (simple cases)</t>
  </si>
  <si>
    <t>3-5 days</t>
  </si>
  <si>
    <t>7-12 days (two-stage visits)</t>
  </si>
  <si>
    <t>Expenses</t>
  </si>
  <si>
    <t>8-12 days (two-stage visits)</t>
  </si>
  <si>
    <t>Operational Costs</t>
  </si>
  <si>
    <t>Marketing Expenses</t>
  </si>
  <si>
    <t xml:space="preserve">Licencing Cost </t>
  </si>
  <si>
    <t>Administrative Costs</t>
  </si>
  <si>
    <t>Miscellaneous Costs</t>
  </si>
  <si>
    <t>Total Expenses</t>
  </si>
  <si>
    <t>Location</t>
  </si>
  <si>
    <t>Total Estimated Cost</t>
  </si>
  <si>
    <t>Total Timeline</t>
  </si>
  <si>
    <t>United States</t>
  </si>
  <si>
    <t>$4500 - $5,000</t>
  </si>
  <si>
    <t>4-6 months (completion in July)</t>
  </si>
  <si>
    <t>Mexico (Dental Tourism)</t>
  </si>
  <si>
    <t>$1,090 - $2,740</t>
  </si>
  <si>
    <t>1-2 weeks (completion in January)</t>
  </si>
  <si>
    <t>Category</t>
  </si>
  <si>
    <t>Full Arch Restoration (All-on-4)</t>
  </si>
  <si>
    <t>-</t>
  </si>
  <si>
    <t>Total Estimated Cost (Single Implant)</t>
  </si>
  <si>
    <t>$950 - $2,050</t>
  </si>
  <si>
    <t>Total Estimated Cost (Abutment and Crown)</t>
  </si>
  <si>
    <t>$1,060 - $2,740</t>
  </si>
  <si>
    <t>$850 - $2,250</t>
  </si>
  <si>
    <t>Total Estimated Cost (Full Arch)</t>
  </si>
  <si>
    <t>$8,790 - $15,240</t>
  </si>
  <si>
    <t>$8,750 - $14,050</t>
  </si>
  <si>
    <t>Wait Time (Single Implant)</t>
  </si>
  <si>
    <t>Wait Time (Full Arch)</t>
  </si>
  <si>
    <t>7-12 days (two-stage)</t>
  </si>
  <si>
    <t>Costs per person</t>
  </si>
  <si>
    <t>Year 1 (100 Customers)</t>
  </si>
  <si>
    <t>Year 2 (500 Customer)</t>
  </si>
  <si>
    <t>Year 3 (1000 Customer)</t>
  </si>
  <si>
    <t>Year 4 (5000 Customer)</t>
  </si>
  <si>
    <t>Year 5 (15000Customer)</t>
  </si>
  <si>
    <t>Round-trip Flight</t>
  </si>
  <si>
    <t xml:space="preserve">Total Estimated Cost </t>
  </si>
  <si>
    <t>Mexico (USD) per person</t>
  </si>
  <si>
    <t>Year 1 (5000 Customer)</t>
  </si>
  <si>
    <t>Year 1 (15000Customer)</t>
  </si>
  <si>
    <t>Number of Patients</t>
  </si>
  <si>
    <t>Total Revenue (Low Estimate)</t>
  </si>
  <si>
    <t>Total Revenue (High Estimate)</t>
  </si>
  <si>
    <t>Net Profit 
(Low Estimate)</t>
  </si>
  <si>
    <t>Net Profit 
(High Estimate)</t>
  </si>
  <si>
    <t xml:space="preserve">1.5 M </t>
  </si>
  <si>
    <t xml:space="preserve">5 Years </t>
  </si>
  <si>
    <t xml:space="preserve">15K </t>
  </si>
  <si>
    <t>Revenue</t>
  </si>
  <si>
    <t>Scaranio: If patients go for their treatment for dental implant treatment in Costa Rico and Mexico. Assume a minimum of 2 dental implants want to get done. 1st Phase 5 Days. (Procedure takes 2 hours max so you will have rest of the time to enjoy)</t>
  </si>
  <si>
    <t xml:space="preserve">Scaranio:  2nd Phase 3 Days Stay </t>
  </si>
  <si>
    <t>Subcategory Cost</t>
  </si>
  <si>
    <t>Estimated Cost (Year 1) - 100 Patients</t>
  </si>
  <si>
    <t>Estimated Cost (Year 2) - 500 Patients</t>
  </si>
  <si>
    <t>Estimated Cost (Year 3) - 1000 Patients</t>
  </si>
  <si>
    <t>Estimated Cost (Year 4) - 5000 Patients</t>
  </si>
  <si>
    <t>Estimated Cost (Year 5) - 15000 Patients</t>
  </si>
  <si>
    <t xml:space="preserve">Min 2 Implant </t>
  </si>
  <si>
    <t>Average 4 Implant</t>
  </si>
  <si>
    <t xml:space="preserve">Total Patients </t>
  </si>
  <si>
    <t xml:space="preserve">Year </t>
  </si>
  <si>
    <t>1. Technology &amp; Platform Development</t>
  </si>
  <si>
    <t>- Initial Development (AI, website, app)</t>
  </si>
  <si>
    <t>- Ongoing Maintenance &amp; Updates</t>
  </si>
  <si>
    <t>- Cloud Hosting &amp; Storage</t>
  </si>
  <si>
    <t>- AI Licensing/Development</t>
  </si>
  <si>
    <t>Total Cost</t>
  </si>
  <si>
    <t>2. Staffing Costs</t>
  </si>
  <si>
    <t>- Executive Salaries (CEO, CTO, etc.)</t>
  </si>
  <si>
    <t>Added the Costs of Phase I (5 Days) + Phase II (3 Days)</t>
  </si>
  <si>
    <t>- Software Engineers &amp; Data Scientists</t>
  </si>
  <si>
    <t>- Marketing &amp; Sales Staff</t>
  </si>
  <si>
    <t>- Customer Support/Concierge</t>
  </si>
  <si>
    <t>CareEscapes AI - 3.5M Seed Funding</t>
  </si>
  <si>
    <t>3. Partnerships &amp; Vendor Costs</t>
  </si>
  <si>
    <t xml:space="preserve">Y-Combinator </t>
  </si>
  <si>
    <t>- Medical Partnerships (setup, legal, travel)</t>
  </si>
  <si>
    <t>CareEscapes AI - 1.5M Seed Funding</t>
  </si>
  <si>
    <t>- Ongoing Partnership Management</t>
  </si>
  <si>
    <t>CareEscapes AI - 1.0M Seed Funding</t>
  </si>
  <si>
    <t>- Travel Vendor Partnerships (setup)</t>
  </si>
  <si>
    <t>CareEscapes AI - 500K Seed Funding</t>
  </si>
  <si>
    <t>- Ongoing Travel Partnership Management</t>
  </si>
  <si>
    <t>4 Implants</t>
  </si>
  <si>
    <t>4. Marketing &amp; Customer Acquisition</t>
  </si>
  <si>
    <t>- Digital Marketing (SEO, paid ads, email)</t>
  </si>
  <si>
    <t>USA/Canada</t>
  </si>
  <si>
    <t xml:space="preserve">2 Implant </t>
  </si>
  <si>
    <t>- Referral Programs &amp; Discounts</t>
  </si>
  <si>
    <t>Saving 12 to 40%</t>
  </si>
  <si>
    <t>- Public Relations (PR) &amp; Events</t>
  </si>
  <si>
    <t xml:space="preserve">2 Times hotel, Aiplane , and Treatment </t>
  </si>
  <si>
    <t>Phase 1</t>
  </si>
  <si>
    <t xml:space="preserve">2 hours </t>
  </si>
  <si>
    <t>5 Days</t>
  </si>
  <si>
    <t>5. Customer Support &amp; Concierge Services</t>
  </si>
  <si>
    <t>Phase 2</t>
  </si>
  <si>
    <t xml:space="preserve">3 Days </t>
  </si>
  <si>
    <t>- 24/7 Customer Support</t>
  </si>
  <si>
    <t>- Concierge Services</t>
  </si>
  <si>
    <t>6. Legal, Compliance, and Insurance</t>
  </si>
  <si>
    <t>- Legal Counsel</t>
  </si>
  <si>
    <t>- Insurance</t>
  </si>
  <si>
    <t>7. Office &amp; Administrative Expenses</t>
  </si>
  <si>
    <t>- Office Rent</t>
  </si>
  <si>
    <t>Profit （Min）</t>
  </si>
  <si>
    <t>Profit （Max）</t>
  </si>
  <si>
    <t>- Operational Tools (CRM, accounting, etc.)</t>
  </si>
  <si>
    <t>8. Miscellaneous Expenses</t>
  </si>
  <si>
    <t>- Additional Travel Costs</t>
  </si>
  <si>
    <t>- Contingency Fund</t>
  </si>
  <si>
    <t xml:space="preserve">9. Total Patients Cost </t>
  </si>
  <si>
    <t>- Hotel Costs</t>
  </si>
  <si>
    <t>- Airplane Costs</t>
  </si>
  <si>
    <t>- Treatment Costs</t>
  </si>
  <si>
    <t>USA Market Size</t>
  </si>
  <si>
    <t>Canada Market Size</t>
  </si>
  <si>
    <t>$6.5 billion by 2028</t>
  </si>
  <si>
    <t>$1.0 billion by 2025</t>
  </si>
  <si>
    <t>Total Operating Costs</t>
  </si>
  <si>
    <t>$32 billion by 2024 (part of broader cosmetic dentistry market)</t>
  </si>
  <si>
    <t>$3.5 billion (including full mouth reconstructions)</t>
  </si>
  <si>
    <t>1.2M</t>
  </si>
  <si>
    <t>3.5M</t>
  </si>
  <si>
    <t>7.3M</t>
  </si>
  <si>
    <t>21.5M</t>
  </si>
  <si>
    <t>57.3M</t>
  </si>
  <si>
    <t>Orthodontic Treatment</t>
  </si>
  <si>
    <t>$11 billion by 2026</t>
  </si>
  <si>
    <t>$1.5 billion</t>
  </si>
  <si>
    <t>Root Canals (Complex Cases)</t>
  </si>
  <si>
    <t>$2 billion</t>
  </si>
  <si>
    <t>$300 million</t>
  </si>
  <si>
    <t>Cosmetic Gum Surgery</t>
  </si>
  <si>
    <t>$250 million</t>
  </si>
  <si>
    <t>Dentures (Complete or Implant-Supported)</t>
  </si>
  <si>
    <t>$4 billion</t>
  </si>
  <si>
    <t>$500 million</t>
  </si>
  <si>
    <t>Periodontal Surgery</t>
  </si>
  <si>
    <t>$3 billion by 2025</t>
  </si>
  <si>
    <t>$400 million</t>
  </si>
  <si>
    <t>Staffing Costs</t>
  </si>
  <si>
    <t>Bridges</t>
  </si>
  <si>
    <t>Customer Support &amp; Concierge Services</t>
  </si>
  <si>
    <t>Miscellaneous Expenses</t>
  </si>
  <si>
    <t xml:space="preserve">Total Patients Cost 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</si>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</sst>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rgb="FF000000"/>
      <name val="Calibri"/>
    </font>
    <font>
      <sz val="10"/>
      <color rgb="FFFF0000"/>
      <name val="Arial"/>
    </font>
    <font>
      <b/>
      <sz val="10"/>
      <color rgb="FFFF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theme="1"/>
      <name val="Times New Roman"/>
    </font>
    <font>
      <b/>
      <sz val="11"/>
      <color theme="1"/>
      <name val="Arial"/>
    </font>
    <font>
      <b/>
      <sz val="10"/>
      <color theme="1"/>
      <name val="Times New Roman"/>
    </font>
    <font>
      <sz val="10"/>
      <name val="Arial"/>
    </font>
    <font>
      <sz val="10"/>
      <color theme="1"/>
      <name val="Times New Roman"/>
    </font>
    <font>
      <b/>
      <i/>
      <sz val="10"/>
      <color theme="1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1" fillId="0" borderId="0" xfId="0" applyFont="1" applyAlignment="1">
      <alignment horizontal="center"/>
    </xf>
    <xf numFmtId="164" fontId="2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165" fontId="2" fillId="0" borderId="0" xfId="0" applyNumberFormat="1" applyFont="1"/>
    <xf numFmtId="9" fontId="2" fillId="0" borderId="0" xfId="0" applyNumberFormat="1" applyFont="1"/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2" fillId="0" borderId="1" xfId="0" applyNumberFormat="1" applyFont="1" applyBorder="1"/>
    <xf numFmtId="0" fontId="1" fillId="5" borderId="1" xfId="0" applyFont="1" applyFill="1" applyBorder="1"/>
    <xf numFmtId="164" fontId="2" fillId="5" borderId="1" xfId="0" applyNumberFormat="1" applyFont="1" applyFill="1" applyBorder="1"/>
    <xf numFmtId="0" fontId="1" fillId="0" borderId="0" xfId="0" applyFont="1"/>
    <xf numFmtId="164" fontId="2" fillId="4" borderId="0" xfId="0" applyNumberFormat="1" applyFont="1" applyFill="1"/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164" fontId="13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left" wrapText="1"/>
    </xf>
    <xf numFmtId="3" fontId="12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7" fillId="0" borderId="0" xfId="0" applyFont="1"/>
    <xf numFmtId="165" fontId="19" fillId="0" borderId="1" xfId="0" applyNumberFormat="1" applyFont="1" applyBorder="1" applyAlignment="1">
      <alignment horizontal="center"/>
    </xf>
    <xf numFmtId="165" fontId="19" fillId="0" borderId="1" xfId="0" applyNumberFormat="1" applyFont="1" applyBorder="1" applyAlignment="1">
      <alignment horizontal="center" wrapText="1"/>
    </xf>
    <xf numFmtId="165" fontId="15" fillId="0" borderId="1" xfId="0" applyNumberFormat="1" applyFont="1" applyBorder="1" applyAlignment="1">
      <alignment horizontal="center"/>
    </xf>
    <xf numFmtId="165" fontId="20" fillId="0" borderId="1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5" fontId="17" fillId="0" borderId="0" xfId="0" applyNumberFormat="1" applyFont="1"/>
    <xf numFmtId="164" fontId="17" fillId="0" borderId="0" xfId="0" applyNumberFormat="1" applyFont="1"/>
    <xf numFmtId="165" fontId="15" fillId="0" borderId="0" xfId="0" applyNumberFormat="1" applyFont="1"/>
    <xf numFmtId="0" fontId="15" fillId="0" borderId="0" xfId="0" applyFont="1"/>
    <xf numFmtId="0" fontId="17" fillId="0" borderId="0" xfId="0" applyFont="1" applyAlignment="1">
      <alignment horizontal="center"/>
    </xf>
    <xf numFmtId="165" fontId="17" fillId="0" borderId="0" xfId="0" applyNumberFormat="1" applyFont="1" applyAlignment="1">
      <alignment horizontal="center"/>
    </xf>
    <xf numFmtId="10" fontId="17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/>
    </xf>
    <xf numFmtId="10" fontId="19" fillId="6" borderId="1" xfId="0" applyNumberFormat="1" applyFont="1" applyFill="1" applyBorder="1" applyAlignment="1">
      <alignment horizontal="center"/>
    </xf>
    <xf numFmtId="165" fontId="19" fillId="6" borderId="1" xfId="0" applyNumberFormat="1" applyFont="1" applyFill="1" applyBorder="1" applyAlignment="1">
      <alignment horizontal="center"/>
    </xf>
    <xf numFmtId="10" fontId="15" fillId="7" borderId="1" xfId="0" applyNumberFormat="1" applyFont="1" applyFill="1" applyBorder="1" applyAlignment="1">
      <alignment horizontal="center"/>
    </xf>
    <xf numFmtId="165" fontId="15" fillId="7" borderId="1" xfId="0" applyNumberFormat="1" applyFont="1" applyFill="1" applyBorder="1" applyAlignment="1">
      <alignment horizontal="center"/>
    </xf>
    <xf numFmtId="165" fontId="19" fillId="7" borderId="1" xfId="0" applyNumberFormat="1" applyFont="1" applyFill="1" applyBorder="1" applyAlignment="1">
      <alignment horizontal="center"/>
    </xf>
    <xf numFmtId="10" fontId="17" fillId="0" borderId="0" xfId="0" applyNumberFormat="1" applyFont="1"/>
    <xf numFmtId="9" fontId="17" fillId="0" borderId="0" xfId="0" applyNumberFormat="1" applyFont="1"/>
    <xf numFmtId="0" fontId="17" fillId="0" borderId="1" xfId="0" applyFont="1" applyBorder="1"/>
    <xf numFmtId="165" fontId="17" fillId="0" borderId="1" xfId="0" applyNumberFormat="1" applyFont="1" applyBorder="1"/>
    <xf numFmtId="9" fontId="17" fillId="0" borderId="1" xfId="0" applyNumberFormat="1" applyFont="1" applyBorder="1"/>
    <xf numFmtId="3" fontId="17" fillId="0" borderId="0" xfId="0" applyNumberFormat="1" applyFont="1"/>
    <xf numFmtId="164" fontId="17" fillId="0" borderId="1" xfId="0" applyNumberFormat="1" applyFont="1" applyBorder="1"/>
    <xf numFmtId="0" fontId="15" fillId="0" borderId="3" xfId="0" applyFont="1" applyBorder="1" applyAlignment="1">
      <alignment horizontal="center"/>
    </xf>
    <xf numFmtId="0" fontId="16" fillId="0" borderId="4" xfId="0" applyFont="1" applyBorder="1"/>
    <xf numFmtId="0" fontId="16" fillId="0" borderId="5" xfId="0" applyFont="1" applyBorder="1"/>
    <xf numFmtId="0" fontId="18" fillId="0" borderId="3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2.5703125" defaultRowHeight="15" customHeight="1" x14ac:dyDescent="0.2"/>
  <cols>
    <col min="1" max="1" width="19.85546875" customWidth="1"/>
    <col min="2" max="2" width="32.85546875" customWidth="1"/>
    <col min="3" max="3" width="71.5703125" customWidth="1"/>
    <col min="4" max="4" width="8.5703125" customWidth="1"/>
    <col min="5" max="5" width="12" customWidth="1"/>
    <col min="6" max="6" width="14.140625" customWidth="1"/>
    <col min="7" max="7" width="14.42578125" customWidth="1"/>
  </cols>
  <sheetData>
    <row r="1" spans="1:6" ht="15.75" customHeight="1" x14ac:dyDescent="0.2">
      <c r="A1" s="1" t="s">
        <v>0</v>
      </c>
      <c r="B1" s="1" t="s">
        <v>1</v>
      </c>
    </row>
    <row r="2" spans="1:6" ht="15.75" customHeight="1" x14ac:dyDescent="0.2">
      <c r="A2" s="2" t="s">
        <v>2</v>
      </c>
      <c r="B2" s="2" t="s">
        <v>3</v>
      </c>
    </row>
    <row r="3" spans="1:6" ht="15.75" customHeight="1" x14ac:dyDescent="0.2">
      <c r="A3" s="2" t="s">
        <v>4</v>
      </c>
      <c r="B3" s="2" t="s">
        <v>5</v>
      </c>
    </row>
    <row r="4" spans="1:6" ht="15.75" customHeight="1" x14ac:dyDescent="0.2">
      <c r="A4" s="2" t="s">
        <v>6</v>
      </c>
      <c r="B4" s="2" t="s">
        <v>7</v>
      </c>
    </row>
    <row r="5" spans="1:6" ht="15.75" customHeight="1" x14ac:dyDescent="0.2"/>
    <row r="6" spans="1:6" ht="15.75" customHeight="1" x14ac:dyDescent="0.2">
      <c r="A6" s="1" t="s">
        <v>8</v>
      </c>
      <c r="B6" s="1" t="s">
        <v>9</v>
      </c>
    </row>
    <row r="7" spans="1:6" ht="15.75" customHeight="1" x14ac:dyDescent="0.2">
      <c r="A7" s="2" t="s">
        <v>10</v>
      </c>
      <c r="B7" s="2" t="s">
        <v>11</v>
      </c>
    </row>
    <row r="8" spans="1:6" ht="15.75" customHeight="1" x14ac:dyDescent="0.2">
      <c r="A8" s="2" t="s">
        <v>12</v>
      </c>
      <c r="B8" s="2" t="s">
        <v>13</v>
      </c>
    </row>
    <row r="9" spans="1:6" ht="15.75" customHeight="1" x14ac:dyDescent="0.2">
      <c r="A9" s="2" t="s">
        <v>14</v>
      </c>
      <c r="B9" s="2" t="s">
        <v>15</v>
      </c>
    </row>
    <row r="10" spans="1:6" ht="15.75" customHeight="1" x14ac:dyDescent="0.2"/>
    <row r="11" spans="1:6" ht="15.75" customHeight="1" x14ac:dyDescent="0.2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21</v>
      </c>
    </row>
    <row r="12" spans="1:6" ht="15.75" customHeight="1" x14ac:dyDescent="0.2">
      <c r="A12" s="2" t="s">
        <v>22</v>
      </c>
      <c r="B12" s="2" t="s">
        <v>23</v>
      </c>
      <c r="C12" s="2" t="s">
        <v>24</v>
      </c>
      <c r="D12" s="2" t="s">
        <v>24</v>
      </c>
      <c r="E12" s="2" t="s">
        <v>24</v>
      </c>
      <c r="F12" s="2">
        <v>1</v>
      </c>
    </row>
    <row r="13" spans="1:6" ht="15.75" customHeight="1" x14ac:dyDescent="0.2">
      <c r="A13" s="2" t="s">
        <v>25</v>
      </c>
      <c r="B13" s="2" t="s">
        <v>23</v>
      </c>
      <c r="C13" s="2" t="s">
        <v>23</v>
      </c>
      <c r="D13" s="2" t="s">
        <v>23</v>
      </c>
      <c r="E13" s="2" t="s">
        <v>23</v>
      </c>
      <c r="F13" s="2">
        <v>3</v>
      </c>
    </row>
    <row r="14" spans="1:6" ht="15.75" customHeight="1" x14ac:dyDescent="0.2">
      <c r="A14" s="2" t="s">
        <v>26</v>
      </c>
      <c r="B14" s="2" t="s">
        <v>23</v>
      </c>
      <c r="C14" s="2" t="s">
        <v>23</v>
      </c>
      <c r="D14" s="2" t="s">
        <v>23</v>
      </c>
      <c r="E14" s="2" t="s">
        <v>23</v>
      </c>
      <c r="F14" s="2">
        <v>1</v>
      </c>
    </row>
    <row r="15" spans="1:6" ht="15.75" customHeight="1" x14ac:dyDescent="0.2">
      <c r="A15" s="2" t="s">
        <v>27</v>
      </c>
      <c r="B15" s="2" t="s">
        <v>23</v>
      </c>
      <c r="C15" s="2" t="s">
        <v>24</v>
      </c>
      <c r="D15" s="2" t="s">
        <v>24</v>
      </c>
      <c r="E15" s="2" t="s">
        <v>24</v>
      </c>
      <c r="F15" s="2">
        <v>2</v>
      </c>
    </row>
    <row r="16" spans="1:6" ht="15.75" customHeight="1" x14ac:dyDescent="0.2">
      <c r="A16" s="2" t="s">
        <v>28</v>
      </c>
      <c r="B16" s="2" t="s">
        <v>23</v>
      </c>
      <c r="C16" s="2" t="s">
        <v>24</v>
      </c>
      <c r="D16" s="2" t="s">
        <v>23</v>
      </c>
      <c r="E16" s="2" t="s">
        <v>24</v>
      </c>
      <c r="F16" s="2">
        <v>1</v>
      </c>
    </row>
    <row r="17" spans="1:6" ht="15.75" customHeight="1" x14ac:dyDescent="0.2">
      <c r="A17" s="2" t="s">
        <v>29</v>
      </c>
      <c r="B17" s="2" t="s">
        <v>23</v>
      </c>
      <c r="C17" s="2" t="s">
        <v>23</v>
      </c>
      <c r="D17" s="2" t="s">
        <v>23</v>
      </c>
      <c r="E17" s="2" t="s">
        <v>23</v>
      </c>
      <c r="F17" s="2">
        <v>1</v>
      </c>
    </row>
    <row r="18" spans="1:6" ht="15.75" customHeight="1" x14ac:dyDescent="0.2">
      <c r="A18" s="2" t="s">
        <v>30</v>
      </c>
      <c r="B18" s="2" t="s">
        <v>23</v>
      </c>
      <c r="C18" s="2" t="s">
        <v>23</v>
      </c>
      <c r="D18" s="2" t="s">
        <v>23</v>
      </c>
      <c r="E18" s="2" t="s">
        <v>23</v>
      </c>
      <c r="F18" s="2">
        <v>1</v>
      </c>
    </row>
    <row r="19" spans="1:6" ht="15.75" customHeight="1" x14ac:dyDescent="0.2">
      <c r="A19" s="2" t="s">
        <v>31</v>
      </c>
      <c r="B19" s="2" t="s">
        <v>24</v>
      </c>
      <c r="C19" s="2" t="s">
        <v>23</v>
      </c>
      <c r="D19" s="2" t="s">
        <v>23</v>
      </c>
      <c r="E19" s="2" t="s">
        <v>23</v>
      </c>
      <c r="F19" s="2">
        <v>2</v>
      </c>
    </row>
    <row r="20" spans="1:6" ht="15.75" customHeight="1" x14ac:dyDescent="0.2"/>
    <row r="21" spans="1:6" ht="15.75" customHeight="1" x14ac:dyDescent="0.2">
      <c r="A21" s="1" t="s">
        <v>32</v>
      </c>
      <c r="B21" s="1" t="s">
        <v>33</v>
      </c>
      <c r="C21" s="1" t="s">
        <v>34</v>
      </c>
    </row>
    <row r="22" spans="1:6" ht="15.75" customHeight="1" x14ac:dyDescent="0.2">
      <c r="A22" s="2" t="s">
        <v>35</v>
      </c>
      <c r="B22" s="2" t="s">
        <v>36</v>
      </c>
      <c r="C22" s="2" t="s">
        <v>37</v>
      </c>
    </row>
    <row r="23" spans="1:6" ht="15.75" customHeight="1" x14ac:dyDescent="0.2">
      <c r="A23" s="2" t="s">
        <v>38</v>
      </c>
      <c r="B23" s="2" t="s">
        <v>39</v>
      </c>
      <c r="C23" s="2" t="s">
        <v>40</v>
      </c>
    </row>
    <row r="24" spans="1:6" ht="15.75" customHeight="1" x14ac:dyDescent="0.2">
      <c r="A24" s="2" t="s">
        <v>41</v>
      </c>
      <c r="B24" s="2" t="s">
        <v>42</v>
      </c>
      <c r="C24" s="2" t="s">
        <v>43</v>
      </c>
    </row>
    <row r="25" spans="1:6" ht="15.75" customHeight="1" x14ac:dyDescent="0.2">
      <c r="A25" s="2" t="s">
        <v>44</v>
      </c>
      <c r="B25" s="2" t="s">
        <v>42</v>
      </c>
      <c r="C25" s="2" t="s">
        <v>45</v>
      </c>
    </row>
    <row r="26" spans="1:6" ht="15.75" customHeight="1" x14ac:dyDescent="0.2">
      <c r="A26" s="2" t="s">
        <v>46</v>
      </c>
      <c r="B26" s="2" t="s">
        <v>42</v>
      </c>
      <c r="C26" s="2" t="s">
        <v>47</v>
      </c>
    </row>
    <row r="27" spans="1:6" ht="15.75" customHeight="1" x14ac:dyDescent="0.2">
      <c r="A27" s="2" t="s">
        <v>48</v>
      </c>
      <c r="B27" s="2" t="s">
        <v>49</v>
      </c>
      <c r="C27" s="2" t="s">
        <v>50</v>
      </c>
    </row>
    <row r="28" spans="1:6" ht="15.75" customHeight="1" x14ac:dyDescent="0.2"/>
    <row r="29" spans="1:6" ht="15.75" customHeight="1" x14ac:dyDescent="0.2">
      <c r="A29" s="1"/>
      <c r="B29" s="1"/>
    </row>
    <row r="30" spans="1:6" ht="15.75" customHeight="1" x14ac:dyDescent="0.2">
      <c r="A30" s="2"/>
      <c r="B30" s="2"/>
    </row>
    <row r="31" spans="1:6" ht="15.75" customHeight="1" x14ac:dyDescent="0.2">
      <c r="A31" s="2"/>
      <c r="B31" s="2"/>
    </row>
    <row r="32" spans="1:6" ht="15.75" customHeight="1" x14ac:dyDescent="0.2">
      <c r="A32" s="2"/>
      <c r="B32" s="2"/>
    </row>
    <row r="33" spans="1:4" ht="15.75" customHeight="1" x14ac:dyDescent="0.2">
      <c r="A33" s="2"/>
      <c r="B33" s="3"/>
    </row>
    <row r="34" spans="1:4" ht="15.75" customHeight="1" x14ac:dyDescent="0.2">
      <c r="A34" s="2"/>
      <c r="B34" s="3"/>
    </row>
    <row r="35" spans="1:4" ht="15.75" customHeight="1" x14ac:dyDescent="0.2">
      <c r="A35" s="2"/>
      <c r="B35" s="3"/>
    </row>
    <row r="36" spans="1:4" ht="15.75" customHeight="1" x14ac:dyDescent="0.2">
      <c r="A36" s="2"/>
      <c r="B36" s="3"/>
    </row>
    <row r="37" spans="1:4" ht="15.75" customHeight="1" x14ac:dyDescent="0.2">
      <c r="A37" s="2"/>
      <c r="B37" s="3"/>
    </row>
    <row r="38" spans="1:4" ht="15.75" customHeight="1" x14ac:dyDescent="0.2">
      <c r="A38" s="2"/>
      <c r="B38" s="2"/>
    </row>
    <row r="39" spans="1:4" ht="15.75" customHeight="1" x14ac:dyDescent="0.2">
      <c r="A39" s="2"/>
      <c r="B39" s="3"/>
    </row>
    <row r="40" spans="1:4" ht="15.75" customHeight="1" x14ac:dyDescent="0.2">
      <c r="A40" s="2"/>
      <c r="B40" s="2"/>
    </row>
    <row r="41" spans="1:4" ht="15.75" customHeight="1" x14ac:dyDescent="0.2"/>
    <row r="42" spans="1:4" ht="15.75" customHeight="1" x14ac:dyDescent="0.2">
      <c r="A42" s="1"/>
      <c r="B42" s="1"/>
      <c r="C42" s="1"/>
      <c r="D42" s="1"/>
    </row>
    <row r="43" spans="1:4" ht="15.75" customHeight="1" x14ac:dyDescent="0.2">
      <c r="A43" s="2"/>
      <c r="B43" s="2"/>
      <c r="C43" s="2"/>
      <c r="D43" s="2"/>
    </row>
    <row r="44" spans="1:4" ht="15.75" customHeight="1" x14ac:dyDescent="0.2">
      <c r="A44" s="2"/>
      <c r="B44" s="2"/>
      <c r="C44" s="2"/>
      <c r="D44" s="2"/>
    </row>
    <row r="45" spans="1:4" ht="15.75" customHeight="1" x14ac:dyDescent="0.2">
      <c r="A45" s="2"/>
      <c r="B45" s="2"/>
      <c r="C45" s="2"/>
      <c r="D45" s="2"/>
    </row>
    <row r="46" spans="1:4" ht="15.75" customHeight="1" x14ac:dyDescent="0.2">
      <c r="A46" s="2"/>
      <c r="B46" s="2"/>
      <c r="C46" s="2"/>
      <c r="D46" s="2"/>
    </row>
    <row r="47" spans="1:4" ht="15.75" customHeight="1" x14ac:dyDescent="0.2"/>
    <row r="48" spans="1:4" ht="15.75" customHeight="1" x14ac:dyDescent="0.2">
      <c r="A48" s="1"/>
      <c r="B48" s="1"/>
    </row>
    <row r="49" spans="1:2" ht="15.75" customHeight="1" x14ac:dyDescent="0.2">
      <c r="A49" s="2"/>
      <c r="B49" s="2"/>
    </row>
    <row r="50" spans="1:2" ht="15.75" customHeight="1" x14ac:dyDescent="0.2">
      <c r="A50" s="2"/>
      <c r="B50" s="2"/>
    </row>
    <row r="51" spans="1:2" ht="15.75" customHeight="1" x14ac:dyDescent="0.2">
      <c r="A51" s="2"/>
      <c r="B51" s="3"/>
    </row>
    <row r="52" spans="1:2" ht="15.75" customHeight="1" x14ac:dyDescent="0.2">
      <c r="A52" s="2"/>
      <c r="B52" s="3"/>
    </row>
    <row r="53" spans="1:2" ht="15.75" customHeight="1" x14ac:dyDescent="0.2">
      <c r="A53" s="2"/>
      <c r="B53" s="3"/>
    </row>
    <row r="54" spans="1:2" ht="15.75" customHeight="1" x14ac:dyDescent="0.2">
      <c r="A54" s="2"/>
      <c r="B54" s="3"/>
    </row>
    <row r="55" spans="1:2" ht="15.75" customHeight="1" x14ac:dyDescent="0.2">
      <c r="A55" s="2"/>
      <c r="B55" s="2"/>
    </row>
    <row r="56" spans="1:2" ht="15.75" customHeight="1" x14ac:dyDescent="0.2"/>
    <row r="57" spans="1:2" ht="15.75" customHeight="1" x14ac:dyDescent="0.2">
      <c r="A57" s="1"/>
      <c r="B57" s="1"/>
    </row>
    <row r="58" spans="1:2" ht="15.75" customHeight="1" x14ac:dyDescent="0.2">
      <c r="A58" s="2"/>
      <c r="B58" s="2"/>
    </row>
    <row r="59" spans="1:2" ht="15.75" customHeight="1" x14ac:dyDescent="0.2">
      <c r="A59" s="2"/>
      <c r="B59" s="2"/>
    </row>
    <row r="60" spans="1:2" ht="15.75" customHeight="1" x14ac:dyDescent="0.2">
      <c r="A60" s="2"/>
      <c r="B60" s="3"/>
    </row>
    <row r="61" spans="1:2" ht="15.75" customHeight="1" x14ac:dyDescent="0.2">
      <c r="A61" s="2"/>
      <c r="B61" s="3"/>
    </row>
    <row r="62" spans="1:2" ht="15.75" customHeight="1" x14ac:dyDescent="0.2">
      <c r="A62" s="2"/>
      <c r="B62" s="2"/>
    </row>
    <row r="63" spans="1:2" ht="15.75" customHeight="1" x14ac:dyDescent="0.2">
      <c r="A63" s="2"/>
      <c r="B63" s="2"/>
    </row>
    <row r="64" spans="1:2" ht="15.75" customHeight="1" x14ac:dyDescent="0.2">
      <c r="A64" s="2"/>
      <c r="B64" s="3"/>
    </row>
    <row r="65" spans="1:7" ht="15.75" customHeight="1" x14ac:dyDescent="0.2">
      <c r="A65" s="2"/>
      <c r="B65" s="3"/>
    </row>
    <row r="66" spans="1:7" ht="15.75" customHeight="1" x14ac:dyDescent="0.2">
      <c r="A66" s="2"/>
      <c r="B66" s="2"/>
    </row>
    <row r="67" spans="1:7" ht="15.75" customHeight="1" x14ac:dyDescent="0.2"/>
    <row r="68" spans="1:7" ht="15.75" customHeight="1" x14ac:dyDescent="0.2">
      <c r="A68" s="1" t="s">
        <v>51</v>
      </c>
      <c r="B68" s="1" t="s">
        <v>52</v>
      </c>
      <c r="C68" s="1" t="s">
        <v>53</v>
      </c>
      <c r="D68" s="1" t="s">
        <v>54</v>
      </c>
    </row>
    <row r="69" spans="1:7" ht="15.75" customHeight="1" x14ac:dyDescent="0.2">
      <c r="A69" s="2" t="s">
        <v>55</v>
      </c>
      <c r="B69" s="2" t="s">
        <v>56</v>
      </c>
      <c r="C69" s="2" t="s">
        <v>57</v>
      </c>
      <c r="D69" s="2" t="s">
        <v>58</v>
      </c>
    </row>
    <row r="70" spans="1:7" ht="15.75" customHeight="1" x14ac:dyDescent="0.2">
      <c r="A70" s="2" t="s">
        <v>59</v>
      </c>
      <c r="B70" s="2" t="s">
        <v>60</v>
      </c>
      <c r="C70" s="2" t="s">
        <v>61</v>
      </c>
      <c r="D70" s="2" t="s">
        <v>62</v>
      </c>
    </row>
    <row r="71" spans="1:7" ht="15.75" customHeight="1" x14ac:dyDescent="0.2">
      <c r="A71" s="2" t="s">
        <v>63</v>
      </c>
      <c r="B71" s="2" t="s">
        <v>64</v>
      </c>
      <c r="C71" s="2" t="s">
        <v>65</v>
      </c>
      <c r="D71" s="2" t="s">
        <v>66</v>
      </c>
    </row>
    <row r="72" spans="1:7" ht="15.75" customHeight="1" x14ac:dyDescent="0.2"/>
    <row r="73" spans="1:7" ht="15.75" customHeight="1" x14ac:dyDescent="0.2">
      <c r="A73" s="1" t="s">
        <v>67</v>
      </c>
      <c r="B73" s="1" t="s">
        <v>68</v>
      </c>
      <c r="C73" s="1" t="s">
        <v>69</v>
      </c>
      <c r="D73" s="4"/>
    </row>
    <row r="74" spans="1:7" ht="15.75" customHeight="1" x14ac:dyDescent="0.2">
      <c r="A74" s="2" t="s">
        <v>70</v>
      </c>
      <c r="B74" s="2" t="s">
        <v>71</v>
      </c>
      <c r="C74" s="2" t="s">
        <v>72</v>
      </c>
    </row>
    <row r="75" spans="1:7" ht="15.75" customHeight="1" x14ac:dyDescent="0.2">
      <c r="A75" s="2" t="s">
        <v>73</v>
      </c>
      <c r="B75" s="2" t="s">
        <v>74</v>
      </c>
      <c r="C75" s="2" t="s">
        <v>75</v>
      </c>
    </row>
    <row r="76" spans="1:7" ht="15.75" customHeight="1" x14ac:dyDescent="0.2">
      <c r="A76" s="2" t="s">
        <v>76</v>
      </c>
      <c r="B76" s="2" t="s">
        <v>71</v>
      </c>
      <c r="C76" s="2" t="s">
        <v>60</v>
      </c>
    </row>
    <row r="77" spans="1:7" ht="15.75" customHeight="1" x14ac:dyDescent="0.2"/>
    <row r="78" spans="1:7" ht="15.75" customHeight="1" x14ac:dyDescent="0.2">
      <c r="A78" s="1" t="s">
        <v>77</v>
      </c>
      <c r="B78" s="1" t="s">
        <v>78</v>
      </c>
      <c r="C78" s="1" t="s">
        <v>79</v>
      </c>
      <c r="D78" s="1" t="s">
        <v>80</v>
      </c>
      <c r="E78" s="4"/>
      <c r="F78" s="4"/>
      <c r="G78" s="4"/>
    </row>
    <row r="79" spans="1:7" ht="15.75" customHeight="1" x14ac:dyDescent="0.2">
      <c r="A79" s="2" t="s">
        <v>81</v>
      </c>
      <c r="B79" s="3">
        <v>136</v>
      </c>
      <c r="C79" s="3">
        <v>176</v>
      </c>
      <c r="D79" s="3">
        <v>6.1</v>
      </c>
      <c r="E79" s="5"/>
      <c r="F79" s="5"/>
      <c r="G79" s="5"/>
    </row>
    <row r="80" spans="1:7" ht="15.75" customHeight="1" x14ac:dyDescent="0.2">
      <c r="A80" s="2" t="s">
        <v>82</v>
      </c>
      <c r="B80" s="3">
        <v>14</v>
      </c>
      <c r="C80" s="3">
        <v>17.5</v>
      </c>
      <c r="D80" s="3">
        <v>4.5999999999999996</v>
      </c>
      <c r="E80" s="5"/>
      <c r="F80" s="5"/>
      <c r="G80" s="5"/>
    </row>
    <row r="81" spans="1:7" ht="15.75" customHeight="1" x14ac:dyDescent="0.2">
      <c r="B81" s="5"/>
      <c r="C81" s="5"/>
      <c r="D81" s="5"/>
      <c r="E81" s="5"/>
      <c r="F81" s="5"/>
      <c r="G81" s="5"/>
    </row>
    <row r="82" spans="1:7" ht="15.75" customHeight="1" x14ac:dyDescent="0.2">
      <c r="A82" s="1" t="s">
        <v>67</v>
      </c>
      <c r="B82" s="6" t="s">
        <v>83</v>
      </c>
      <c r="C82" s="6" t="s">
        <v>84</v>
      </c>
      <c r="D82" s="5"/>
      <c r="E82" s="5"/>
      <c r="F82" s="5"/>
      <c r="G82" s="5"/>
    </row>
    <row r="83" spans="1:7" ht="15.75" customHeight="1" x14ac:dyDescent="0.2">
      <c r="A83" s="2" t="s">
        <v>85</v>
      </c>
      <c r="B83" s="3" t="s">
        <v>86</v>
      </c>
      <c r="C83" s="3" t="s">
        <v>87</v>
      </c>
      <c r="D83" s="5"/>
      <c r="E83" s="5"/>
      <c r="F83" s="5"/>
      <c r="G83" s="5"/>
    </row>
    <row r="84" spans="1:7" ht="15.75" customHeight="1" x14ac:dyDescent="0.2">
      <c r="A84" s="2" t="s">
        <v>88</v>
      </c>
      <c r="B84" s="2" t="s">
        <v>89</v>
      </c>
      <c r="C84" s="2" t="s">
        <v>90</v>
      </c>
    </row>
    <row r="85" spans="1:7" ht="15.75" customHeight="1" x14ac:dyDescent="0.2">
      <c r="A85" s="2" t="s">
        <v>91</v>
      </c>
      <c r="B85" s="2" t="s">
        <v>92</v>
      </c>
      <c r="C85" s="2" t="s">
        <v>93</v>
      </c>
      <c r="D85" s="2"/>
      <c r="E85" s="2"/>
      <c r="F85" s="2"/>
    </row>
    <row r="86" spans="1:7" ht="15.75" customHeight="1" x14ac:dyDescent="0.2">
      <c r="A86" s="1"/>
      <c r="B86" s="3"/>
      <c r="C86" s="3"/>
      <c r="D86" s="3"/>
      <c r="E86" s="3"/>
      <c r="F86" s="3"/>
    </row>
    <row r="87" spans="1:7" ht="15.75" customHeight="1" x14ac:dyDescent="0.2">
      <c r="A87" s="1"/>
      <c r="B87" s="3"/>
      <c r="C87" s="3"/>
      <c r="D87" s="3"/>
      <c r="E87" s="3"/>
      <c r="F87" s="3"/>
    </row>
    <row r="88" spans="1:7" ht="15.75" customHeight="1" x14ac:dyDescent="0.2">
      <c r="A88" s="1" t="s">
        <v>94</v>
      </c>
      <c r="B88" s="6" t="s">
        <v>95</v>
      </c>
      <c r="C88" s="6" t="s">
        <v>96</v>
      </c>
      <c r="D88" s="3"/>
      <c r="E88" s="3"/>
      <c r="F88" s="3"/>
    </row>
    <row r="89" spans="1:7" ht="15.75" customHeight="1" x14ac:dyDescent="0.2">
      <c r="A89" s="2" t="s">
        <v>97</v>
      </c>
      <c r="B89" s="3" t="s">
        <v>98</v>
      </c>
      <c r="C89" s="3" t="s">
        <v>99</v>
      </c>
      <c r="D89" s="3"/>
      <c r="E89" s="3"/>
      <c r="F89" s="3"/>
    </row>
    <row r="90" spans="1:7" ht="15.75" customHeight="1" x14ac:dyDescent="0.2">
      <c r="A90" s="2" t="s">
        <v>100</v>
      </c>
      <c r="B90" s="3" t="s">
        <v>101</v>
      </c>
      <c r="C90" s="3" t="s">
        <v>102</v>
      </c>
      <c r="D90" s="3"/>
      <c r="E90" s="3"/>
      <c r="F90" s="3"/>
    </row>
    <row r="91" spans="1:7" ht="15.75" customHeight="1" x14ac:dyDescent="0.2">
      <c r="A91" s="2" t="s">
        <v>103</v>
      </c>
      <c r="B91" s="3" t="s">
        <v>98</v>
      </c>
      <c r="C91" s="3" t="s">
        <v>104</v>
      </c>
      <c r="D91" s="3"/>
      <c r="E91" s="3"/>
      <c r="F91" s="3"/>
    </row>
    <row r="92" spans="1:7" ht="15.75" customHeight="1" x14ac:dyDescent="0.2">
      <c r="A92" s="4"/>
    </row>
    <row r="93" spans="1:7" ht="15.75" customHeight="1" x14ac:dyDescent="0.2">
      <c r="A93" s="4" t="s">
        <v>105</v>
      </c>
      <c r="B93" s="7" t="s">
        <v>106</v>
      </c>
      <c r="C93" s="7" t="s">
        <v>107</v>
      </c>
      <c r="D93" s="5"/>
      <c r="E93" s="5"/>
      <c r="F93" s="5"/>
    </row>
    <row r="94" spans="1:7" ht="15.75" customHeight="1" x14ac:dyDescent="0.2">
      <c r="A94" s="8" t="s">
        <v>108</v>
      </c>
      <c r="B94" s="5">
        <v>7000</v>
      </c>
      <c r="C94" s="5">
        <v>12000</v>
      </c>
      <c r="D94" s="5"/>
      <c r="E94" s="5"/>
      <c r="F94" s="5"/>
    </row>
    <row r="95" spans="1:7" ht="15.75" customHeight="1" x14ac:dyDescent="0.2">
      <c r="A95" s="8" t="s">
        <v>109</v>
      </c>
      <c r="B95" s="9">
        <v>3</v>
      </c>
      <c r="C95" s="9">
        <v>3</v>
      </c>
      <c r="D95" s="5"/>
      <c r="E95" s="5"/>
      <c r="F95" s="5"/>
    </row>
    <row r="96" spans="1:7" ht="15.75" customHeight="1" x14ac:dyDescent="0.2">
      <c r="A96" s="8" t="s">
        <v>110</v>
      </c>
      <c r="B96" s="5">
        <v>21000</v>
      </c>
      <c r="C96" s="5">
        <v>36000</v>
      </c>
      <c r="D96" s="5"/>
      <c r="E96" s="5"/>
      <c r="F96" s="5"/>
    </row>
    <row r="97" spans="1:6" ht="15.75" customHeight="1" x14ac:dyDescent="0.2">
      <c r="A97" s="4"/>
      <c r="B97" s="5"/>
      <c r="C97" s="5"/>
      <c r="D97" s="5"/>
      <c r="E97" s="5"/>
      <c r="F97" s="5"/>
    </row>
    <row r="98" spans="1:6" ht="15.75" customHeight="1" x14ac:dyDescent="0.2">
      <c r="A98" s="4"/>
      <c r="B98" s="5"/>
      <c r="C98" s="5"/>
      <c r="D98" s="5"/>
      <c r="E98" s="5"/>
      <c r="F98" s="5"/>
    </row>
    <row r="99" spans="1:6" ht="15.75" customHeight="1" x14ac:dyDescent="0.2">
      <c r="A99" s="4" t="s">
        <v>105</v>
      </c>
      <c r="B99" s="4" t="s">
        <v>106</v>
      </c>
      <c r="C99" s="4" t="s">
        <v>107</v>
      </c>
    </row>
    <row r="100" spans="1:6" ht="15.75" customHeight="1" x14ac:dyDescent="0.2">
      <c r="A100" s="8" t="s">
        <v>110</v>
      </c>
      <c r="B100" s="5">
        <v>21000</v>
      </c>
      <c r="C100" s="5">
        <v>36000</v>
      </c>
    </row>
    <row r="101" spans="1:6" ht="15.75" customHeight="1" x14ac:dyDescent="0.2">
      <c r="A101" s="8" t="s">
        <v>111</v>
      </c>
      <c r="B101" s="5">
        <v>460</v>
      </c>
      <c r="C101" s="5">
        <v>460</v>
      </c>
    </row>
    <row r="102" spans="1:6" ht="15.75" customHeight="1" x14ac:dyDescent="0.2">
      <c r="A102" s="8" t="s">
        <v>112</v>
      </c>
      <c r="B102" s="8" t="s">
        <v>113</v>
      </c>
      <c r="C102" s="8" t="s">
        <v>114</v>
      </c>
    </row>
    <row r="103" spans="1:6" ht="15.75" customHeight="1" x14ac:dyDescent="0.2"/>
    <row r="104" spans="1:6" ht="15.75" customHeight="1" x14ac:dyDescent="0.2"/>
    <row r="105" spans="1:6" ht="15.75" customHeight="1" x14ac:dyDescent="0.2">
      <c r="A105" s="1" t="s">
        <v>115</v>
      </c>
      <c r="B105" s="1" t="s">
        <v>116</v>
      </c>
      <c r="C105" s="1" t="s">
        <v>117</v>
      </c>
      <c r="D105" s="1" t="s">
        <v>118</v>
      </c>
    </row>
    <row r="106" spans="1:6" ht="14.25" customHeight="1" x14ac:dyDescent="0.2">
      <c r="A106" s="2" t="s">
        <v>119</v>
      </c>
      <c r="B106" s="2" t="s">
        <v>120</v>
      </c>
      <c r="C106" s="2" t="s">
        <v>121</v>
      </c>
      <c r="D106" s="2" t="s">
        <v>122</v>
      </c>
    </row>
    <row r="107" spans="1:6" ht="15.75" customHeight="1" x14ac:dyDescent="0.2">
      <c r="A107" s="2" t="s">
        <v>123</v>
      </c>
      <c r="B107" s="2" t="s">
        <v>124</v>
      </c>
      <c r="C107" s="2" t="s">
        <v>125</v>
      </c>
      <c r="D107" s="2" t="s">
        <v>126</v>
      </c>
    </row>
    <row r="108" spans="1:6" ht="15.75" customHeight="1" x14ac:dyDescent="0.2">
      <c r="A108" s="2" t="s">
        <v>127</v>
      </c>
      <c r="B108" s="2" t="s">
        <v>128</v>
      </c>
      <c r="C108" s="2" t="s">
        <v>129</v>
      </c>
      <c r="D108" s="2" t="s">
        <v>130</v>
      </c>
    </row>
    <row r="109" spans="1:6" ht="15.75" customHeight="1" x14ac:dyDescent="0.2">
      <c r="A109" s="2" t="s">
        <v>131</v>
      </c>
      <c r="B109" s="2" t="s">
        <v>132</v>
      </c>
      <c r="C109" s="2" t="s">
        <v>133</v>
      </c>
      <c r="D109" s="2" t="s">
        <v>134</v>
      </c>
    </row>
    <row r="110" spans="1:6" ht="15.75" customHeight="1" x14ac:dyDescent="0.2">
      <c r="A110" s="2" t="s">
        <v>135</v>
      </c>
      <c r="B110" s="2" t="s">
        <v>136</v>
      </c>
      <c r="C110" s="2" t="s">
        <v>137</v>
      </c>
      <c r="D110" s="2" t="s">
        <v>138</v>
      </c>
    </row>
    <row r="111" spans="1:6" ht="15.75" customHeight="1" x14ac:dyDescent="0.2"/>
    <row r="112" spans="1:6" ht="15.75" customHeight="1" x14ac:dyDescent="0.2">
      <c r="A112" s="1" t="s">
        <v>139</v>
      </c>
      <c r="B112" s="1" t="s">
        <v>140</v>
      </c>
    </row>
    <row r="113" spans="1:5" ht="15.75" customHeight="1" x14ac:dyDescent="0.2">
      <c r="A113" s="2" t="s">
        <v>141</v>
      </c>
      <c r="B113" s="3">
        <v>70000</v>
      </c>
    </row>
    <row r="114" spans="1:5" ht="15.75" customHeight="1" x14ac:dyDescent="0.2">
      <c r="A114" s="2" t="s">
        <v>142</v>
      </c>
      <c r="B114" s="3">
        <v>10000</v>
      </c>
    </row>
    <row r="115" spans="1:5" ht="15.75" customHeight="1" x14ac:dyDescent="0.2">
      <c r="A115" s="2" t="s">
        <v>143</v>
      </c>
      <c r="B115" s="3">
        <v>300000</v>
      </c>
    </row>
    <row r="116" spans="1:5" ht="15.75" customHeight="1" x14ac:dyDescent="0.2">
      <c r="A116" s="2" t="s">
        <v>144</v>
      </c>
      <c r="B116" s="3">
        <v>130000</v>
      </c>
    </row>
    <row r="117" spans="1:5" ht="15.75" customHeight="1" x14ac:dyDescent="0.2">
      <c r="A117" s="2" t="s">
        <v>145</v>
      </c>
      <c r="B117" s="3">
        <v>45000</v>
      </c>
    </row>
    <row r="118" spans="1:5" ht="15.75" customHeight="1" x14ac:dyDescent="0.2">
      <c r="A118" s="2" t="s">
        <v>146</v>
      </c>
      <c r="B118" s="3">
        <v>15000</v>
      </c>
    </row>
    <row r="119" spans="1:5" ht="15.75" customHeight="1" x14ac:dyDescent="0.2">
      <c r="A119" s="2" t="s">
        <v>147</v>
      </c>
      <c r="B119" s="3">
        <v>5000</v>
      </c>
    </row>
    <row r="120" spans="1:5" ht="15.75" customHeight="1" x14ac:dyDescent="0.2">
      <c r="A120" s="2" t="s">
        <v>148</v>
      </c>
      <c r="B120" s="3">
        <v>120000</v>
      </c>
    </row>
    <row r="121" spans="1:5" ht="15.75" customHeight="1" x14ac:dyDescent="0.2">
      <c r="A121" s="2" t="s">
        <v>149</v>
      </c>
      <c r="B121" s="3">
        <v>695000</v>
      </c>
    </row>
    <row r="122" spans="1:5" ht="15.75" customHeight="1" x14ac:dyDescent="0.25">
      <c r="A122" s="10" t="s">
        <v>150</v>
      </c>
      <c r="B122" s="11"/>
    </row>
    <row r="123" spans="1:5" ht="15.75" customHeight="1" x14ac:dyDescent="0.25">
      <c r="A123" s="12" t="s">
        <v>151</v>
      </c>
      <c r="B123" s="12" t="s">
        <v>152</v>
      </c>
    </row>
    <row r="124" spans="1:5" ht="15.75" customHeight="1" x14ac:dyDescent="0.2">
      <c r="A124" s="2" t="s">
        <v>153</v>
      </c>
      <c r="B124" s="3">
        <v>10000</v>
      </c>
    </row>
    <row r="125" spans="1:5" ht="15.75" customHeight="1" x14ac:dyDescent="0.2">
      <c r="A125" s="2" t="s">
        <v>154</v>
      </c>
      <c r="B125" s="3">
        <v>5000</v>
      </c>
    </row>
    <row r="126" spans="1:5" ht="15.75" customHeight="1" x14ac:dyDescent="0.2">
      <c r="A126" s="2" t="s">
        <v>155</v>
      </c>
      <c r="B126" s="3">
        <v>5000</v>
      </c>
      <c r="E126" s="5"/>
    </row>
    <row r="127" spans="1:5" ht="15.75" customHeight="1" x14ac:dyDescent="0.2">
      <c r="A127" s="2" t="s">
        <v>156</v>
      </c>
      <c r="B127" s="3">
        <v>50000</v>
      </c>
      <c r="E127" s="5"/>
    </row>
    <row r="128" spans="1:5" ht="15.75" customHeight="1" x14ac:dyDescent="0.2">
      <c r="A128" s="2" t="s">
        <v>157</v>
      </c>
      <c r="B128" s="3">
        <v>100000</v>
      </c>
      <c r="E128" s="5"/>
    </row>
    <row r="129" spans="1:5" ht="15.75" customHeight="1" x14ac:dyDescent="0.2">
      <c r="A129" s="2" t="s">
        <v>158</v>
      </c>
      <c r="B129" s="3">
        <v>100000</v>
      </c>
      <c r="E129" s="5"/>
    </row>
    <row r="130" spans="1:5" ht="15.75" customHeight="1" x14ac:dyDescent="0.2">
      <c r="A130" s="2" t="s">
        <v>159</v>
      </c>
      <c r="B130" s="3">
        <v>60000</v>
      </c>
      <c r="E130" s="5"/>
    </row>
    <row r="131" spans="1:5" ht="15.75" customHeight="1" x14ac:dyDescent="0.2">
      <c r="A131" s="2" t="s">
        <v>160</v>
      </c>
      <c r="B131" s="3">
        <v>40000</v>
      </c>
      <c r="E131" s="5"/>
    </row>
    <row r="132" spans="1:5" ht="15.75" customHeight="1" x14ac:dyDescent="0.2">
      <c r="A132" s="2" t="s">
        <v>161</v>
      </c>
      <c r="B132" s="3">
        <v>10000</v>
      </c>
      <c r="E132" s="5"/>
    </row>
    <row r="133" spans="1:5" ht="15.75" customHeight="1" x14ac:dyDescent="0.2">
      <c r="A133" s="2" t="s">
        <v>162</v>
      </c>
      <c r="B133" s="3">
        <v>10000</v>
      </c>
      <c r="E133" s="5"/>
    </row>
    <row r="134" spans="1:5" ht="15.75" customHeight="1" x14ac:dyDescent="0.2">
      <c r="A134" s="2" t="s">
        <v>163</v>
      </c>
      <c r="B134" s="3">
        <v>100000</v>
      </c>
      <c r="E134" s="5"/>
    </row>
    <row r="135" spans="1:5" ht="15.75" customHeight="1" x14ac:dyDescent="0.2">
      <c r="A135" s="2" t="s">
        <v>164</v>
      </c>
      <c r="B135" s="3">
        <v>5000</v>
      </c>
      <c r="E135" s="5"/>
    </row>
    <row r="136" spans="1:5" ht="15.75" customHeight="1" x14ac:dyDescent="0.2">
      <c r="A136" s="2" t="s">
        <v>165</v>
      </c>
      <c r="B136" s="3">
        <v>5000</v>
      </c>
      <c r="E136" s="5"/>
    </row>
    <row r="137" spans="1:5" ht="15.75" customHeight="1" x14ac:dyDescent="0.2">
      <c r="A137" s="2" t="s">
        <v>166</v>
      </c>
      <c r="B137" s="3">
        <v>5000</v>
      </c>
      <c r="E137" s="5"/>
    </row>
    <row r="138" spans="1:5" ht="15.75" customHeight="1" x14ac:dyDescent="0.2">
      <c r="A138" s="2" t="s">
        <v>167</v>
      </c>
      <c r="B138" s="3">
        <v>10000</v>
      </c>
      <c r="E138" s="5"/>
    </row>
    <row r="139" spans="1:5" ht="15.75" customHeight="1" x14ac:dyDescent="0.2">
      <c r="A139" s="2" t="s">
        <v>168</v>
      </c>
      <c r="B139" s="3">
        <v>5000</v>
      </c>
      <c r="E139" s="5"/>
    </row>
    <row r="140" spans="1:5" ht="15.75" customHeight="1" x14ac:dyDescent="0.2">
      <c r="A140" s="2" t="s">
        <v>169</v>
      </c>
      <c r="B140" s="3">
        <v>20000</v>
      </c>
      <c r="E140" s="5"/>
    </row>
    <row r="141" spans="1:5" ht="15.75" customHeight="1" x14ac:dyDescent="0.2">
      <c r="A141" s="2" t="s">
        <v>170</v>
      </c>
      <c r="B141" s="3">
        <v>100000</v>
      </c>
      <c r="E141" s="5"/>
    </row>
    <row r="142" spans="1:5" ht="15.75" customHeight="1" x14ac:dyDescent="0.2">
      <c r="A142" s="2" t="s">
        <v>149</v>
      </c>
      <c r="B142" s="3">
        <v>695000</v>
      </c>
      <c r="E142" s="5"/>
    </row>
    <row r="143" spans="1:5" ht="15.75" customHeight="1" x14ac:dyDescent="0.25">
      <c r="A143" s="10" t="s">
        <v>171</v>
      </c>
      <c r="B143" s="11"/>
      <c r="E143" s="5"/>
    </row>
    <row r="144" spans="1:5" ht="15.75" customHeight="1" x14ac:dyDescent="0.25">
      <c r="A144" s="11" t="s">
        <v>172</v>
      </c>
      <c r="B144" s="13">
        <f>B142</f>
        <v>695000</v>
      </c>
      <c r="E144" s="5"/>
    </row>
    <row r="145" spans="1:2" ht="15.75" customHeight="1" x14ac:dyDescent="0.2">
      <c r="A145" s="8"/>
      <c r="B145" s="5"/>
    </row>
    <row r="146" spans="1:2" ht="15.75" customHeight="1" x14ac:dyDescent="0.2">
      <c r="A146" s="8"/>
      <c r="B146" s="5"/>
    </row>
    <row r="147" spans="1:2" ht="15.75" customHeight="1" x14ac:dyDescent="0.2"/>
    <row r="148" spans="1:2" ht="15.75" customHeight="1" x14ac:dyDescent="0.2"/>
    <row r="149" spans="1:2" ht="15.75" customHeight="1" x14ac:dyDescent="0.2"/>
    <row r="150" spans="1:2" ht="15.75" customHeight="1" x14ac:dyDescent="0.2"/>
    <row r="151" spans="1:2" ht="15.75" customHeight="1" x14ac:dyDescent="0.2"/>
    <row r="152" spans="1:2" ht="15.75" customHeight="1" x14ac:dyDescent="0.2"/>
    <row r="153" spans="1:2" ht="15.75" customHeight="1" x14ac:dyDescent="0.2"/>
    <row r="154" spans="1:2" ht="15.75" customHeight="1" x14ac:dyDescent="0.2"/>
    <row r="155" spans="1:2" ht="15.75" customHeight="1" x14ac:dyDescent="0.2"/>
    <row r="156" spans="1:2" ht="15.75" customHeight="1" x14ac:dyDescent="0.2"/>
    <row r="157" spans="1:2" ht="15.75" customHeight="1" x14ac:dyDescent="0.2"/>
    <row r="158" spans="1:2" ht="15.75" customHeight="1" x14ac:dyDescent="0.2"/>
    <row r="159" spans="1:2" ht="15.75" customHeight="1" x14ac:dyDescent="0.2"/>
    <row r="160" spans="1:2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35.85546875" customWidth="1"/>
    <col min="2" max="2" width="23.7109375" customWidth="1"/>
    <col min="3" max="3" width="26.42578125" customWidth="1"/>
    <col min="4" max="4" width="21.140625" customWidth="1"/>
    <col min="5" max="6" width="23.42578125" customWidth="1"/>
    <col min="7" max="7" width="24" customWidth="1"/>
    <col min="8" max="8" width="15.85546875" customWidth="1"/>
    <col min="10" max="10" width="18" customWidth="1"/>
    <col min="11" max="11" width="16.85546875" customWidth="1"/>
    <col min="16" max="16" width="17.140625" customWidth="1"/>
    <col min="18" max="18" width="17.85546875" customWidth="1"/>
  </cols>
  <sheetData>
    <row r="1" spans="1:26" ht="15.75" customHeight="1" x14ac:dyDescent="0.2">
      <c r="A1" s="8" t="s">
        <v>173</v>
      </c>
      <c r="H1" s="8" t="s">
        <v>174</v>
      </c>
    </row>
    <row r="2" spans="1:26" ht="15.75" customHeight="1" x14ac:dyDescent="0.2">
      <c r="A2" s="4" t="s">
        <v>67</v>
      </c>
      <c r="B2" s="4" t="s">
        <v>175</v>
      </c>
      <c r="C2" s="4" t="s">
        <v>176</v>
      </c>
      <c r="D2" s="4" t="s">
        <v>177</v>
      </c>
      <c r="E2" s="4" t="s">
        <v>178</v>
      </c>
      <c r="F2" s="8" t="s">
        <v>179</v>
      </c>
      <c r="G2" s="8" t="s">
        <v>180</v>
      </c>
      <c r="H2" s="8" t="s">
        <v>181</v>
      </c>
      <c r="I2" s="8" t="s">
        <v>182</v>
      </c>
      <c r="J2" s="8" t="s">
        <v>183</v>
      </c>
    </row>
    <row r="3" spans="1:26" ht="15.75" customHeight="1" x14ac:dyDescent="0.2">
      <c r="A3" s="14" t="s">
        <v>184</v>
      </c>
      <c r="B3" s="14" t="s">
        <v>185</v>
      </c>
      <c r="C3" s="14" t="s">
        <v>186</v>
      </c>
      <c r="D3" s="14" t="s">
        <v>87</v>
      </c>
      <c r="E3" s="15" t="s">
        <v>187</v>
      </c>
      <c r="F3" s="14" t="s">
        <v>188</v>
      </c>
      <c r="G3" s="16" t="s">
        <v>189</v>
      </c>
      <c r="H3" s="14" t="s">
        <v>190</v>
      </c>
      <c r="I3" s="14"/>
      <c r="J3" s="17">
        <f t="shared" ref="J3:J7" si="0">1100*L3</f>
        <v>110000</v>
      </c>
      <c r="K3" s="17">
        <f t="shared" ref="K3:K7" si="1">1210*L3</f>
        <v>121000</v>
      </c>
      <c r="L3" s="14">
        <v>100</v>
      </c>
      <c r="M3" s="14">
        <v>1</v>
      </c>
      <c r="N3" s="14" t="s">
        <v>191</v>
      </c>
      <c r="O3" s="14" t="s">
        <v>192</v>
      </c>
      <c r="P3" s="14" t="s">
        <v>193</v>
      </c>
      <c r="Q3" s="14" t="s">
        <v>194</v>
      </c>
      <c r="R3" s="14" t="s">
        <v>195</v>
      </c>
      <c r="S3" s="14"/>
      <c r="T3" s="14"/>
      <c r="U3" s="14"/>
      <c r="V3" s="14"/>
      <c r="W3" s="14"/>
      <c r="X3" s="14"/>
      <c r="Y3" s="14"/>
      <c r="Z3" s="14"/>
    </row>
    <row r="4" spans="1:26" ht="15.75" customHeight="1" x14ac:dyDescent="0.2">
      <c r="A4" s="8" t="s">
        <v>196</v>
      </c>
      <c r="B4" s="8" t="s">
        <v>197</v>
      </c>
      <c r="C4" s="8" t="s">
        <v>198</v>
      </c>
      <c r="D4" s="8" t="s">
        <v>199</v>
      </c>
      <c r="E4" s="4" t="s">
        <v>187</v>
      </c>
      <c r="F4" s="8" t="s">
        <v>188</v>
      </c>
      <c r="G4" s="8" t="s">
        <v>189</v>
      </c>
      <c r="H4" s="8" t="s">
        <v>200</v>
      </c>
      <c r="J4" s="17">
        <f t="shared" si="0"/>
        <v>550000</v>
      </c>
      <c r="K4" s="18">
        <f t="shared" si="1"/>
        <v>605000</v>
      </c>
      <c r="L4" s="8">
        <v>500</v>
      </c>
      <c r="M4" s="8">
        <v>2</v>
      </c>
      <c r="N4" s="8" t="s">
        <v>191</v>
      </c>
      <c r="O4" s="8" t="s">
        <v>192</v>
      </c>
      <c r="P4" s="8" t="s">
        <v>201</v>
      </c>
      <c r="Q4" s="8" t="s">
        <v>202</v>
      </c>
      <c r="R4" s="8" t="s">
        <v>203</v>
      </c>
    </row>
    <row r="5" spans="1:26" ht="15.75" customHeight="1" x14ac:dyDescent="0.2">
      <c r="A5" s="8" t="s">
        <v>204</v>
      </c>
      <c r="B5" s="8" t="s">
        <v>205</v>
      </c>
      <c r="C5" s="8" t="s">
        <v>206</v>
      </c>
      <c r="D5" s="8" t="s">
        <v>207</v>
      </c>
      <c r="E5" s="4" t="s">
        <v>187</v>
      </c>
      <c r="F5" s="8" t="s">
        <v>188</v>
      </c>
      <c r="G5" s="5" t="s">
        <v>189</v>
      </c>
      <c r="H5" s="8" t="s">
        <v>208</v>
      </c>
      <c r="J5" s="17">
        <f t="shared" si="0"/>
        <v>1100000</v>
      </c>
      <c r="K5" s="18">
        <f t="shared" si="1"/>
        <v>1210000</v>
      </c>
      <c r="L5" s="8">
        <v>1000</v>
      </c>
      <c r="M5" s="8">
        <v>3</v>
      </c>
      <c r="N5" s="8" t="s">
        <v>191</v>
      </c>
      <c r="O5" s="8" t="s">
        <v>192</v>
      </c>
      <c r="P5" s="8" t="s">
        <v>209</v>
      </c>
      <c r="Q5" s="8" t="s">
        <v>210</v>
      </c>
      <c r="R5" s="8" t="s">
        <v>211</v>
      </c>
    </row>
    <row r="6" spans="1:26" ht="15.75" customHeight="1" x14ac:dyDescent="0.2">
      <c r="A6" s="8" t="s">
        <v>212</v>
      </c>
      <c r="B6" s="8" t="s">
        <v>213</v>
      </c>
      <c r="C6" s="8" t="s">
        <v>214</v>
      </c>
      <c r="D6" s="8" t="s">
        <v>215</v>
      </c>
      <c r="E6" s="4" t="s">
        <v>187</v>
      </c>
      <c r="F6" s="8" t="s">
        <v>188</v>
      </c>
      <c r="G6" s="8" t="s">
        <v>189</v>
      </c>
      <c r="H6" s="8" t="s">
        <v>216</v>
      </c>
      <c r="J6" s="17">
        <f t="shared" si="0"/>
        <v>5500000</v>
      </c>
      <c r="K6" s="18">
        <f t="shared" si="1"/>
        <v>6050000</v>
      </c>
      <c r="L6" s="8">
        <v>5000</v>
      </c>
      <c r="M6" s="8">
        <v>4</v>
      </c>
      <c r="N6" s="8" t="s">
        <v>191</v>
      </c>
      <c r="O6" s="8" t="s">
        <v>192</v>
      </c>
      <c r="P6" s="8" t="s">
        <v>217</v>
      </c>
      <c r="Q6" s="8" t="s">
        <v>218</v>
      </c>
      <c r="R6" s="8" t="s">
        <v>219</v>
      </c>
    </row>
    <row r="7" spans="1:26" ht="15.75" customHeight="1" x14ac:dyDescent="0.2">
      <c r="E7" s="4"/>
      <c r="J7" s="17">
        <f t="shared" si="0"/>
        <v>16500000</v>
      </c>
      <c r="K7" s="18">
        <f t="shared" si="1"/>
        <v>18150000</v>
      </c>
      <c r="L7" s="8">
        <v>15000</v>
      </c>
      <c r="M7" s="8">
        <v>5</v>
      </c>
      <c r="N7" s="8" t="s">
        <v>191</v>
      </c>
      <c r="O7" s="8" t="s">
        <v>192</v>
      </c>
      <c r="P7" s="8" t="s">
        <v>220</v>
      </c>
      <c r="Q7" s="8" t="s">
        <v>221</v>
      </c>
      <c r="R7" s="8" t="s">
        <v>222</v>
      </c>
    </row>
    <row r="8" spans="1:26" ht="15.75" customHeight="1" x14ac:dyDescent="0.2">
      <c r="A8" s="4" t="s">
        <v>67</v>
      </c>
      <c r="B8" s="4" t="s">
        <v>175</v>
      </c>
      <c r="C8" s="4" t="s">
        <v>176</v>
      </c>
      <c r="D8" s="4" t="s">
        <v>223</v>
      </c>
      <c r="E8" s="8" t="s">
        <v>178</v>
      </c>
      <c r="F8" s="8" t="s">
        <v>179</v>
      </c>
      <c r="G8" s="8" t="s">
        <v>180</v>
      </c>
      <c r="H8" s="8" t="s">
        <v>181</v>
      </c>
      <c r="J8" s="18"/>
      <c r="K8" s="18"/>
      <c r="N8" s="8" t="s">
        <v>224</v>
      </c>
      <c r="O8" s="8" t="s">
        <v>224</v>
      </c>
      <c r="P8" s="8" t="s">
        <v>225</v>
      </c>
      <c r="Q8" s="8" t="s">
        <v>226</v>
      </c>
      <c r="R8" s="8" t="s">
        <v>227</v>
      </c>
    </row>
    <row r="9" spans="1:26" ht="15.75" customHeight="1" x14ac:dyDescent="0.2">
      <c r="A9" s="8" t="s">
        <v>184</v>
      </c>
      <c r="B9" s="8" t="s">
        <v>185</v>
      </c>
      <c r="C9" s="8" t="s">
        <v>186</v>
      </c>
      <c r="D9" s="8" t="s">
        <v>228</v>
      </c>
      <c r="E9" s="8" t="s">
        <v>229</v>
      </c>
      <c r="F9" s="8" t="s">
        <v>230</v>
      </c>
      <c r="G9" s="5" t="s">
        <v>231</v>
      </c>
      <c r="H9" s="8" t="s">
        <v>232</v>
      </c>
      <c r="N9" s="8">
        <v>70000</v>
      </c>
      <c r="O9" s="8">
        <v>70000</v>
      </c>
      <c r="P9" s="8">
        <v>100000</v>
      </c>
      <c r="Q9" s="8">
        <v>100000</v>
      </c>
      <c r="R9" s="8">
        <v>80000</v>
      </c>
      <c r="S9" s="8">
        <f>SUM(N9:R9)</f>
        <v>420000</v>
      </c>
    </row>
    <row r="10" spans="1:26" ht="15.75" customHeight="1" x14ac:dyDescent="0.2">
      <c r="A10" s="8" t="s">
        <v>196</v>
      </c>
      <c r="B10" s="8" t="s">
        <v>197</v>
      </c>
      <c r="C10" s="8" t="s">
        <v>198</v>
      </c>
      <c r="D10" s="8" t="s">
        <v>233</v>
      </c>
      <c r="E10" s="8" t="s">
        <v>229</v>
      </c>
      <c r="F10" s="8" t="s">
        <v>230</v>
      </c>
      <c r="G10" s="5" t="s">
        <v>231</v>
      </c>
      <c r="H10" s="8" t="s">
        <v>234</v>
      </c>
      <c r="S10" s="8" t="s">
        <v>235</v>
      </c>
    </row>
    <row r="11" spans="1:26" ht="15.75" customHeight="1" x14ac:dyDescent="0.2">
      <c r="A11" s="8" t="s">
        <v>204</v>
      </c>
      <c r="B11" s="8" t="s">
        <v>205</v>
      </c>
      <c r="C11" s="8" t="s">
        <v>206</v>
      </c>
      <c r="D11" s="8" t="s">
        <v>236</v>
      </c>
      <c r="E11" s="8" t="s">
        <v>229</v>
      </c>
      <c r="F11" s="8" t="s">
        <v>230</v>
      </c>
      <c r="G11" s="5" t="s">
        <v>231</v>
      </c>
      <c r="H11" s="8" t="s">
        <v>237</v>
      </c>
      <c r="J11" s="18"/>
      <c r="K11" s="18"/>
      <c r="S11" s="8" t="s">
        <v>238</v>
      </c>
    </row>
    <row r="12" spans="1:26" ht="15.75" customHeight="1" x14ac:dyDescent="0.2">
      <c r="A12" s="8" t="s">
        <v>212</v>
      </c>
      <c r="B12" s="8" t="s">
        <v>213</v>
      </c>
      <c r="C12" s="8" t="s">
        <v>214</v>
      </c>
      <c r="D12" s="8" t="s">
        <v>239</v>
      </c>
      <c r="E12" s="8" t="s">
        <v>229</v>
      </c>
      <c r="F12" s="8" t="s">
        <v>230</v>
      </c>
      <c r="G12" s="5" t="s">
        <v>231</v>
      </c>
      <c r="H12" s="8" t="s">
        <v>240</v>
      </c>
      <c r="J12" s="18"/>
      <c r="K12" s="18"/>
      <c r="S12" s="8" t="s">
        <v>241</v>
      </c>
    </row>
    <row r="13" spans="1:26" ht="15.75" customHeight="1" x14ac:dyDescent="0.2">
      <c r="J13" s="18"/>
      <c r="K13" s="18"/>
      <c r="S13" s="8" t="s">
        <v>242</v>
      </c>
    </row>
    <row r="14" spans="1:26" ht="15.75" customHeight="1" x14ac:dyDescent="0.2">
      <c r="J14" s="18"/>
      <c r="K14" s="18"/>
    </row>
    <row r="15" spans="1:26" ht="15.75" customHeight="1" x14ac:dyDescent="0.2">
      <c r="J15" s="18"/>
      <c r="K15" s="18"/>
      <c r="M15" s="19"/>
    </row>
    <row r="16" spans="1:26" ht="15.75" customHeight="1" x14ac:dyDescent="0.2">
      <c r="J16" s="18"/>
      <c r="K16" s="18"/>
    </row>
    <row r="17" spans="1:15" ht="15.75" customHeight="1" x14ac:dyDescent="0.2">
      <c r="A17" s="8" t="s">
        <v>243</v>
      </c>
      <c r="J17" s="18"/>
      <c r="K17" s="18"/>
    </row>
    <row r="18" spans="1:15" ht="15.75" customHeight="1" x14ac:dyDescent="0.2">
      <c r="A18" s="4" t="s">
        <v>67</v>
      </c>
      <c r="B18" s="4" t="s">
        <v>244</v>
      </c>
      <c r="C18" s="4" t="s">
        <v>245</v>
      </c>
      <c r="D18" s="4" t="s">
        <v>246</v>
      </c>
      <c r="E18" s="4" t="s">
        <v>247</v>
      </c>
    </row>
    <row r="19" spans="1:15" ht="15.75" customHeight="1" x14ac:dyDescent="0.2">
      <c r="A19" s="8" t="s">
        <v>184</v>
      </c>
      <c r="B19" s="8" t="s">
        <v>248</v>
      </c>
      <c r="C19" s="8" t="s">
        <v>249</v>
      </c>
      <c r="D19" s="8" t="s">
        <v>250</v>
      </c>
      <c r="E19" s="8" t="s">
        <v>250</v>
      </c>
      <c r="I19" s="8" t="s">
        <v>251</v>
      </c>
      <c r="J19" s="8" t="s">
        <v>252</v>
      </c>
      <c r="K19" s="8" t="s">
        <v>119</v>
      </c>
      <c r="L19" s="8" t="s">
        <v>123</v>
      </c>
      <c r="M19" s="8" t="s">
        <v>127</v>
      </c>
      <c r="N19" s="8" t="s">
        <v>131</v>
      </c>
      <c r="O19" s="8" t="s">
        <v>135</v>
      </c>
    </row>
    <row r="20" spans="1:15" ht="15.75" customHeight="1" x14ac:dyDescent="0.2">
      <c r="A20" s="8" t="s">
        <v>196</v>
      </c>
      <c r="B20" s="8" t="s">
        <v>253</v>
      </c>
      <c r="C20" s="8" t="s">
        <v>254</v>
      </c>
      <c r="D20" s="8" t="s">
        <v>250</v>
      </c>
      <c r="E20" s="8" t="s">
        <v>250</v>
      </c>
      <c r="G20" s="8">
        <v>1200</v>
      </c>
      <c r="H20" s="8">
        <v>1200</v>
      </c>
      <c r="I20" s="8">
        <v>300</v>
      </c>
      <c r="J20" s="8" t="s">
        <v>255</v>
      </c>
      <c r="K20" s="18">
        <f t="shared" ref="K20:K22" si="2">I20 *100</f>
        <v>30000</v>
      </c>
      <c r="L20" s="18">
        <f t="shared" ref="L20:L22" si="3">I20*500</f>
        <v>150000</v>
      </c>
      <c r="M20" s="18">
        <f t="shared" ref="M20:M22" si="4">I20*1000</f>
        <v>300000</v>
      </c>
      <c r="N20" s="18">
        <f t="shared" ref="N20:N22" si="5">I20*5000</f>
        <v>1500000</v>
      </c>
      <c r="O20" s="18">
        <f t="shared" ref="O20:O22" si="6">I20*15000</f>
        <v>4500000</v>
      </c>
    </row>
    <row r="21" spans="1:15" ht="15.75" customHeight="1" x14ac:dyDescent="0.2">
      <c r="A21" s="8" t="s">
        <v>204</v>
      </c>
      <c r="B21" s="8" t="s">
        <v>256</v>
      </c>
      <c r="C21" s="8" t="s">
        <v>256</v>
      </c>
      <c r="D21" s="8" t="s">
        <v>250</v>
      </c>
      <c r="E21" s="8" t="s">
        <v>250</v>
      </c>
      <c r="G21" s="8">
        <v>400</v>
      </c>
      <c r="H21" s="8">
        <v>400</v>
      </c>
      <c r="I21" s="8">
        <v>1200</v>
      </c>
      <c r="J21" s="8" t="s">
        <v>257</v>
      </c>
      <c r="K21" s="18">
        <f t="shared" si="2"/>
        <v>120000</v>
      </c>
      <c r="L21" s="18">
        <f t="shared" si="3"/>
        <v>600000</v>
      </c>
      <c r="M21" s="18">
        <f t="shared" si="4"/>
        <v>1200000</v>
      </c>
      <c r="N21" s="18">
        <f t="shared" si="5"/>
        <v>6000000</v>
      </c>
      <c r="O21" s="18">
        <f t="shared" si="6"/>
        <v>18000000</v>
      </c>
    </row>
    <row r="22" spans="1:15" ht="15.75" customHeight="1" x14ac:dyDescent="0.2">
      <c r="A22" s="8" t="s">
        <v>212</v>
      </c>
      <c r="B22" s="8" t="s">
        <v>258</v>
      </c>
      <c r="C22" s="8" t="s">
        <v>258</v>
      </c>
      <c r="D22" s="8" t="s">
        <v>250</v>
      </c>
      <c r="E22" s="8" t="s">
        <v>250</v>
      </c>
      <c r="G22" s="8">
        <v>300</v>
      </c>
      <c r="H22" s="8">
        <v>500</v>
      </c>
      <c r="I22" s="8">
        <v>400</v>
      </c>
      <c r="J22" s="8" t="s">
        <v>259</v>
      </c>
      <c r="K22" s="18">
        <f t="shared" si="2"/>
        <v>40000</v>
      </c>
      <c r="L22" s="18">
        <f t="shared" si="3"/>
        <v>200000</v>
      </c>
      <c r="M22" s="18">
        <f t="shared" si="4"/>
        <v>400000</v>
      </c>
      <c r="N22" s="18">
        <f t="shared" si="5"/>
        <v>2000000</v>
      </c>
      <c r="O22" s="18">
        <f t="shared" si="6"/>
        <v>6000000</v>
      </c>
    </row>
    <row r="23" spans="1:15" ht="15.75" customHeight="1" x14ac:dyDescent="0.2">
      <c r="G23" s="8">
        <f t="shared" ref="G23:H23" si="7">SUM(G20:G22)</f>
        <v>1900</v>
      </c>
      <c r="H23" s="8">
        <f t="shared" si="7"/>
        <v>2100</v>
      </c>
      <c r="J23" s="8" t="s">
        <v>260</v>
      </c>
      <c r="K23" s="18">
        <v>420000</v>
      </c>
      <c r="L23" s="18"/>
      <c r="M23" s="18"/>
      <c r="N23" s="18"/>
      <c r="O23" s="18"/>
    </row>
    <row r="24" spans="1:15" ht="15.75" customHeight="1" x14ac:dyDescent="0.2">
      <c r="A24" s="8" t="s">
        <v>261</v>
      </c>
      <c r="G24" s="8">
        <v>3000</v>
      </c>
      <c r="H24" s="8">
        <v>3500</v>
      </c>
      <c r="J24" s="8"/>
      <c r="K24" s="18">
        <f t="shared" ref="K24:O24" si="8">SUM(K20:K23)</f>
        <v>610000</v>
      </c>
      <c r="L24" s="18">
        <f t="shared" si="8"/>
        <v>950000</v>
      </c>
      <c r="M24" s="18">
        <f t="shared" si="8"/>
        <v>1900000</v>
      </c>
      <c r="N24" s="18">
        <f t="shared" si="8"/>
        <v>9500000</v>
      </c>
      <c r="O24" s="18">
        <f t="shared" si="8"/>
        <v>28500000</v>
      </c>
    </row>
    <row r="25" spans="1:15" ht="15.75" customHeight="1" x14ac:dyDescent="0.2">
      <c r="A25" s="4" t="s">
        <v>262</v>
      </c>
      <c r="B25" s="4" t="s">
        <v>263</v>
      </c>
    </row>
    <row r="26" spans="1:15" ht="15.75" customHeight="1" x14ac:dyDescent="0.2">
      <c r="A26" s="8" t="s">
        <v>264</v>
      </c>
      <c r="B26" s="8" t="s">
        <v>264</v>
      </c>
    </row>
    <row r="27" spans="1:15" ht="15.75" customHeight="1" x14ac:dyDescent="0.2">
      <c r="A27" s="8" t="s">
        <v>265</v>
      </c>
      <c r="B27" s="8" t="s">
        <v>265</v>
      </c>
    </row>
    <row r="28" spans="1:15" ht="15.75" customHeight="1" x14ac:dyDescent="0.2">
      <c r="A28" s="8" t="s">
        <v>266</v>
      </c>
      <c r="B28" s="8" t="s">
        <v>266</v>
      </c>
      <c r="J28" s="20" t="s">
        <v>267</v>
      </c>
      <c r="K28" s="21" t="s">
        <v>119</v>
      </c>
      <c r="L28" s="21" t="s">
        <v>123</v>
      </c>
      <c r="M28" s="21" t="s">
        <v>127</v>
      </c>
      <c r="N28" s="21" t="s">
        <v>131</v>
      </c>
      <c r="O28" s="21" t="s">
        <v>135</v>
      </c>
    </row>
    <row r="29" spans="1:15" ht="15.75" customHeight="1" x14ac:dyDescent="0.2">
      <c r="A29" s="8" t="s">
        <v>268</v>
      </c>
      <c r="B29" s="8" t="s">
        <v>268</v>
      </c>
      <c r="J29" s="20" t="s">
        <v>269</v>
      </c>
      <c r="K29" s="22">
        <f>SUM(K20:K23)</f>
        <v>610000</v>
      </c>
      <c r="L29" s="22">
        <f t="shared" ref="L29:O29" si="9">L24</f>
        <v>950000</v>
      </c>
      <c r="M29" s="22">
        <f t="shared" si="9"/>
        <v>1900000</v>
      </c>
      <c r="N29" s="22">
        <f t="shared" si="9"/>
        <v>9500000</v>
      </c>
      <c r="O29" s="22">
        <f t="shared" si="9"/>
        <v>28500000</v>
      </c>
    </row>
    <row r="30" spans="1:15" ht="15.75" customHeight="1" x14ac:dyDescent="0.2">
      <c r="J30" s="20" t="s">
        <v>270</v>
      </c>
      <c r="K30" s="22">
        <v>20000</v>
      </c>
      <c r="L30" s="22">
        <v>60000</v>
      </c>
      <c r="M30" s="22">
        <v>100000</v>
      </c>
      <c r="N30" s="22">
        <v>150000</v>
      </c>
      <c r="O30" s="22">
        <v>200000</v>
      </c>
    </row>
    <row r="31" spans="1:15" ht="15.75" customHeight="1" x14ac:dyDescent="0.2">
      <c r="J31" s="23" t="s">
        <v>271</v>
      </c>
      <c r="K31" s="23"/>
      <c r="L31" s="23"/>
      <c r="M31" s="23"/>
      <c r="N31" s="23"/>
      <c r="O31" s="23"/>
    </row>
    <row r="32" spans="1:15" ht="15.75" customHeight="1" x14ac:dyDescent="0.2">
      <c r="J32" s="20" t="s">
        <v>272</v>
      </c>
      <c r="K32" s="22">
        <v>20000</v>
      </c>
      <c r="L32" s="22">
        <v>200000</v>
      </c>
      <c r="M32" s="22">
        <v>1000000</v>
      </c>
      <c r="N32" s="22">
        <v>2000000</v>
      </c>
      <c r="O32" s="22">
        <v>10000000</v>
      </c>
    </row>
    <row r="33" spans="1:15" ht="15.75" customHeight="1" x14ac:dyDescent="0.2">
      <c r="J33" s="20" t="s">
        <v>273</v>
      </c>
      <c r="K33" s="22">
        <v>0</v>
      </c>
      <c r="L33" s="22">
        <v>500000</v>
      </c>
      <c r="M33" s="22">
        <v>100000</v>
      </c>
      <c r="N33" s="22">
        <v>500000</v>
      </c>
      <c r="O33" s="22">
        <v>500000</v>
      </c>
    </row>
    <row r="34" spans="1:15" ht="15.75" customHeight="1" x14ac:dyDescent="0.2">
      <c r="J34" s="20" t="s">
        <v>274</v>
      </c>
      <c r="K34" s="22">
        <v>450000</v>
      </c>
      <c r="L34" s="22">
        <v>2250000</v>
      </c>
      <c r="M34" s="22">
        <v>4500000</v>
      </c>
      <c r="N34" s="22">
        <v>22500000</v>
      </c>
      <c r="O34" s="22">
        <v>67500000</v>
      </c>
    </row>
    <row r="35" spans="1:15" ht="15.75" customHeight="1" x14ac:dyDescent="0.2">
      <c r="A35" s="1" t="s">
        <v>275</v>
      </c>
      <c r="B35" s="1" t="s">
        <v>276</v>
      </c>
      <c r="C35" s="1" t="s">
        <v>277</v>
      </c>
    </row>
    <row r="36" spans="1:15" ht="15.75" customHeight="1" x14ac:dyDescent="0.2">
      <c r="A36" s="2" t="s">
        <v>278</v>
      </c>
      <c r="B36" s="2" t="s">
        <v>279</v>
      </c>
      <c r="C36" s="2" t="s">
        <v>280</v>
      </c>
      <c r="J36" s="24"/>
    </row>
    <row r="37" spans="1:15" ht="15.75" customHeight="1" x14ac:dyDescent="0.2">
      <c r="A37" s="2" t="s">
        <v>281</v>
      </c>
      <c r="B37" s="2" t="s">
        <v>282</v>
      </c>
      <c r="C37" s="2" t="s">
        <v>283</v>
      </c>
    </row>
    <row r="38" spans="1:15" ht="15.75" customHeight="1" x14ac:dyDescent="0.2"/>
    <row r="39" spans="1:15" ht="15.75" customHeight="1" x14ac:dyDescent="0.2"/>
    <row r="40" spans="1:15" ht="15.75" customHeight="1" x14ac:dyDescent="0.2"/>
    <row r="41" spans="1:15" ht="15.75" customHeight="1" x14ac:dyDescent="0.2"/>
    <row r="42" spans="1:15" ht="15.75" customHeight="1" x14ac:dyDescent="0.2">
      <c r="A42" s="1" t="s">
        <v>284</v>
      </c>
      <c r="B42" s="1" t="s">
        <v>175</v>
      </c>
      <c r="C42" s="1" t="s">
        <v>176</v>
      </c>
      <c r="D42" s="1" t="s">
        <v>177</v>
      </c>
      <c r="E42" s="1" t="s">
        <v>223</v>
      </c>
    </row>
    <row r="43" spans="1:15" ht="15.75" customHeight="1" x14ac:dyDescent="0.2">
      <c r="A43" s="2" t="s">
        <v>184</v>
      </c>
      <c r="B43" s="2" t="s">
        <v>185</v>
      </c>
      <c r="C43" s="2" t="s">
        <v>186</v>
      </c>
      <c r="D43" s="2" t="s">
        <v>87</v>
      </c>
      <c r="E43" s="2" t="s">
        <v>228</v>
      </c>
    </row>
    <row r="44" spans="1:15" ht="15.75" customHeight="1" x14ac:dyDescent="0.2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233</v>
      </c>
    </row>
    <row r="45" spans="1:15" ht="15.75" customHeight="1" x14ac:dyDescent="0.2">
      <c r="A45" s="2" t="s">
        <v>285</v>
      </c>
      <c r="B45" s="2" t="s">
        <v>205</v>
      </c>
      <c r="C45" s="2" t="s">
        <v>206</v>
      </c>
      <c r="D45" s="2" t="s">
        <v>207</v>
      </c>
      <c r="E45" s="2" t="s">
        <v>236</v>
      </c>
    </row>
    <row r="46" spans="1:15" ht="15.75" customHeight="1" x14ac:dyDescent="0.2">
      <c r="A46" s="2" t="s">
        <v>178</v>
      </c>
      <c r="B46" s="2" t="s">
        <v>286</v>
      </c>
      <c r="C46" s="2" t="s">
        <v>286</v>
      </c>
      <c r="D46" s="2" t="s">
        <v>187</v>
      </c>
      <c r="E46" s="2" t="s">
        <v>229</v>
      </c>
    </row>
    <row r="47" spans="1:15" ht="15.75" customHeight="1" x14ac:dyDescent="0.2">
      <c r="A47" s="2" t="s">
        <v>179</v>
      </c>
      <c r="B47" s="2" t="s">
        <v>286</v>
      </c>
      <c r="C47" s="2" t="s">
        <v>286</v>
      </c>
      <c r="D47" s="2" t="s">
        <v>188</v>
      </c>
      <c r="E47" s="2" t="s">
        <v>230</v>
      </c>
    </row>
    <row r="48" spans="1:15" ht="15.75" customHeight="1" x14ac:dyDescent="0.2">
      <c r="A48" s="25" t="s">
        <v>287</v>
      </c>
      <c r="B48" s="26" t="s">
        <v>185</v>
      </c>
      <c r="C48" s="26" t="s">
        <v>186</v>
      </c>
      <c r="D48" s="27" t="s">
        <v>282</v>
      </c>
      <c r="E48" s="27" t="s">
        <v>288</v>
      </c>
    </row>
    <row r="49" spans="1:7" ht="15.75" customHeight="1" x14ac:dyDescent="0.2">
      <c r="A49" s="25" t="s">
        <v>289</v>
      </c>
      <c r="B49" s="26" t="s">
        <v>197</v>
      </c>
      <c r="C49" s="26" t="s">
        <v>198</v>
      </c>
      <c r="D49" s="27" t="s">
        <v>290</v>
      </c>
      <c r="E49" s="27" t="s">
        <v>291</v>
      </c>
    </row>
    <row r="50" spans="1:7" ht="15.75" customHeight="1" x14ac:dyDescent="0.2">
      <c r="A50" s="25" t="s">
        <v>292</v>
      </c>
      <c r="B50" s="26" t="s">
        <v>205</v>
      </c>
      <c r="C50" s="26" t="s">
        <v>206</v>
      </c>
      <c r="D50" s="27" t="s">
        <v>293</v>
      </c>
      <c r="E50" s="27" t="s">
        <v>294</v>
      </c>
    </row>
    <row r="51" spans="1:7" ht="15.75" customHeight="1" x14ac:dyDescent="0.2">
      <c r="A51" s="2" t="s">
        <v>295</v>
      </c>
      <c r="B51" s="2" t="s">
        <v>248</v>
      </c>
      <c r="C51" s="2" t="s">
        <v>249</v>
      </c>
      <c r="D51" s="2" t="s">
        <v>250</v>
      </c>
      <c r="E51" s="2" t="s">
        <v>250</v>
      </c>
    </row>
    <row r="52" spans="1:7" ht="15.75" customHeight="1" x14ac:dyDescent="0.2">
      <c r="A52" s="2" t="s">
        <v>296</v>
      </c>
      <c r="B52" s="2" t="s">
        <v>256</v>
      </c>
      <c r="C52" s="2" t="s">
        <v>256</v>
      </c>
      <c r="D52" s="2" t="s">
        <v>297</v>
      </c>
      <c r="E52" s="2" t="s">
        <v>297</v>
      </c>
    </row>
    <row r="53" spans="1:7" ht="15.75" customHeight="1" x14ac:dyDescent="0.2"/>
    <row r="54" spans="1:7" ht="15.75" customHeight="1" x14ac:dyDescent="0.2"/>
    <row r="55" spans="1:7" ht="15.75" customHeight="1" x14ac:dyDescent="0.2">
      <c r="A55" s="1" t="s">
        <v>284</v>
      </c>
      <c r="B55" s="1" t="s">
        <v>298</v>
      </c>
      <c r="C55" s="2" t="s">
        <v>299</v>
      </c>
      <c r="D55" s="2" t="s">
        <v>300</v>
      </c>
      <c r="E55" s="2" t="s">
        <v>301</v>
      </c>
      <c r="F55" s="2" t="s">
        <v>302</v>
      </c>
      <c r="G55" s="2" t="s">
        <v>303</v>
      </c>
    </row>
    <row r="56" spans="1:7" ht="15.75" customHeight="1" x14ac:dyDescent="0.2">
      <c r="A56" s="2" t="s">
        <v>257</v>
      </c>
      <c r="B56" s="3">
        <f t="shared" ref="B56:B58" si="10">C56/100</f>
        <v>2000</v>
      </c>
      <c r="C56" s="28">
        <v>200000</v>
      </c>
      <c r="D56" s="28">
        <v>1000000</v>
      </c>
      <c r="E56" s="28">
        <v>2000000</v>
      </c>
      <c r="F56" s="28">
        <v>10000000</v>
      </c>
      <c r="G56" s="28">
        <v>30000000</v>
      </c>
    </row>
    <row r="57" spans="1:7" ht="15.75" customHeight="1" x14ac:dyDescent="0.2">
      <c r="A57" s="2" t="s">
        <v>304</v>
      </c>
      <c r="B57" s="3">
        <f t="shared" si="10"/>
        <v>800</v>
      </c>
      <c r="C57" s="28">
        <v>80000</v>
      </c>
      <c r="D57" s="28">
        <v>400000</v>
      </c>
      <c r="E57" s="28">
        <v>800000</v>
      </c>
      <c r="F57" s="28">
        <v>4000000</v>
      </c>
      <c r="G57" s="28">
        <v>12000000</v>
      </c>
    </row>
    <row r="58" spans="1:7" ht="15.75" customHeight="1" x14ac:dyDescent="0.2">
      <c r="A58" s="2" t="s">
        <v>255</v>
      </c>
      <c r="B58" s="3">
        <f t="shared" si="10"/>
        <v>640</v>
      </c>
      <c r="C58" s="28">
        <v>64000</v>
      </c>
      <c r="D58" s="28">
        <v>320000</v>
      </c>
      <c r="E58" s="28">
        <v>640000</v>
      </c>
      <c r="F58" s="28">
        <v>3200000</v>
      </c>
      <c r="G58" s="28">
        <v>9600000</v>
      </c>
    </row>
    <row r="59" spans="1:7" ht="15.75" customHeight="1" x14ac:dyDescent="0.2">
      <c r="A59" s="29" t="s">
        <v>305</v>
      </c>
      <c r="B59" s="30">
        <f>SUM(B56:B58)</f>
        <v>3440</v>
      </c>
      <c r="C59" s="30">
        <f>100*B59</f>
        <v>344000</v>
      </c>
      <c r="D59" s="30">
        <f>500*B59</f>
        <v>1720000</v>
      </c>
      <c r="E59" s="30">
        <f>1000*B59</f>
        <v>3440000</v>
      </c>
      <c r="F59" s="30">
        <f>5000*B59</f>
        <v>17200000</v>
      </c>
      <c r="G59" s="30">
        <f>15000*B59</f>
        <v>51600000</v>
      </c>
    </row>
    <row r="60" spans="1:7" ht="15.75" customHeight="1" x14ac:dyDescent="0.2">
      <c r="A60" s="31"/>
      <c r="B60" s="5"/>
    </row>
    <row r="61" spans="1:7" ht="15.75" customHeight="1" x14ac:dyDescent="0.2">
      <c r="A61" s="31"/>
      <c r="B61" s="5"/>
    </row>
    <row r="62" spans="1:7" ht="15.75" customHeight="1" x14ac:dyDescent="0.2"/>
    <row r="63" spans="1:7" ht="15.75" customHeight="1" x14ac:dyDescent="0.2"/>
    <row r="64" spans="1:7" ht="15.75" customHeight="1" x14ac:dyDescent="0.2">
      <c r="A64" s="8"/>
      <c r="B64" s="8"/>
      <c r="C64" s="8"/>
    </row>
    <row r="65" spans="1:7" ht="15.75" customHeight="1" x14ac:dyDescent="0.2">
      <c r="A65" s="4" t="s">
        <v>284</v>
      </c>
      <c r="B65" s="4" t="s">
        <v>306</v>
      </c>
      <c r="C65" s="8" t="s">
        <v>299</v>
      </c>
      <c r="D65" s="8" t="s">
        <v>300</v>
      </c>
      <c r="E65" s="8" t="s">
        <v>301</v>
      </c>
      <c r="F65" s="8" t="s">
        <v>307</v>
      </c>
      <c r="G65" s="8" t="s">
        <v>308</v>
      </c>
    </row>
    <row r="66" spans="1:7" ht="15.75" customHeight="1" x14ac:dyDescent="0.2">
      <c r="A66" s="8" t="s">
        <v>184</v>
      </c>
      <c r="B66" s="5">
        <v>1000</v>
      </c>
    </row>
    <row r="67" spans="1:7" ht="15.75" customHeight="1" x14ac:dyDescent="0.2">
      <c r="A67" s="8" t="s">
        <v>196</v>
      </c>
      <c r="B67" s="9">
        <v>1200</v>
      </c>
    </row>
    <row r="68" spans="1:7" ht="15.75" customHeight="1" x14ac:dyDescent="0.2">
      <c r="A68" s="8" t="s">
        <v>285</v>
      </c>
      <c r="B68" s="5">
        <v>13000</v>
      </c>
    </row>
    <row r="69" spans="1:7" ht="15.75" customHeight="1" x14ac:dyDescent="0.2">
      <c r="A69" s="8" t="s">
        <v>178</v>
      </c>
      <c r="B69" s="5">
        <v>350</v>
      </c>
    </row>
    <row r="70" spans="1:7" ht="15.75" customHeight="1" x14ac:dyDescent="0.2">
      <c r="A70" s="8" t="s">
        <v>179</v>
      </c>
      <c r="B70" s="5">
        <v>100</v>
      </c>
    </row>
    <row r="71" spans="1:7" ht="15.75" customHeight="1" x14ac:dyDescent="0.2">
      <c r="A71" s="31" t="s">
        <v>287</v>
      </c>
      <c r="B71" s="32">
        <v>2050</v>
      </c>
    </row>
    <row r="72" spans="1:7" ht="15.75" customHeight="1" x14ac:dyDescent="0.2">
      <c r="A72" s="31" t="s">
        <v>289</v>
      </c>
      <c r="B72" s="32">
        <v>2250</v>
      </c>
    </row>
    <row r="73" spans="1:7" ht="15.75" customHeight="1" x14ac:dyDescent="0.2">
      <c r="A73" s="31" t="s">
        <v>292</v>
      </c>
      <c r="B73" s="32">
        <v>14050</v>
      </c>
    </row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>
      <c r="A80" s="33" t="s">
        <v>284</v>
      </c>
      <c r="B80" s="33" t="s">
        <v>175</v>
      </c>
      <c r="C80" s="33" t="s">
        <v>176</v>
      </c>
    </row>
    <row r="81" spans="1:3" ht="15.75" customHeight="1" x14ac:dyDescent="0.2">
      <c r="A81" s="34" t="s">
        <v>184</v>
      </c>
      <c r="B81" s="34" t="s">
        <v>185</v>
      </c>
      <c r="C81" s="34" t="s">
        <v>186</v>
      </c>
    </row>
    <row r="82" spans="1:3" ht="15.75" customHeight="1" x14ac:dyDescent="0.2">
      <c r="A82" s="34" t="s">
        <v>196</v>
      </c>
      <c r="B82" s="34" t="s">
        <v>197</v>
      </c>
      <c r="C82" s="34" t="s">
        <v>198</v>
      </c>
    </row>
    <row r="83" spans="1:3" ht="15.75" customHeight="1" x14ac:dyDescent="0.2">
      <c r="A83" s="34" t="s">
        <v>285</v>
      </c>
      <c r="B83" s="34" t="s">
        <v>205</v>
      </c>
      <c r="C83" s="34" t="s">
        <v>206</v>
      </c>
    </row>
    <row r="84" spans="1:3" ht="15.75" customHeight="1" x14ac:dyDescent="0.2">
      <c r="A84" s="34" t="s">
        <v>295</v>
      </c>
      <c r="B84" s="34" t="s">
        <v>248</v>
      </c>
      <c r="C84" s="34" t="s">
        <v>249</v>
      </c>
    </row>
    <row r="85" spans="1:3" ht="15.75" customHeight="1" x14ac:dyDescent="0.2">
      <c r="A85" s="34" t="s">
        <v>296</v>
      </c>
      <c r="B85" s="34" t="s">
        <v>256</v>
      </c>
      <c r="C85" s="34" t="s">
        <v>256</v>
      </c>
    </row>
    <row r="86" spans="1:3" ht="15.75" customHeight="1" x14ac:dyDescent="0.2">
      <c r="A86" s="31"/>
      <c r="B86" s="8"/>
      <c r="C86" s="8"/>
    </row>
    <row r="87" spans="1:3" ht="15.75" customHeight="1" x14ac:dyDescent="0.2">
      <c r="A87" s="31"/>
      <c r="B87" s="8"/>
      <c r="C87" s="8"/>
    </row>
    <row r="88" spans="1:3" ht="15.75" customHeight="1" x14ac:dyDescent="0.2">
      <c r="A88" s="31"/>
      <c r="B88" s="8"/>
      <c r="C88" s="8"/>
    </row>
    <row r="89" spans="1:3" ht="15.75" customHeight="1" x14ac:dyDescent="0.2"/>
    <row r="90" spans="1:3" ht="15.75" customHeight="1" x14ac:dyDescent="0.2"/>
    <row r="91" spans="1:3" ht="15.75" customHeight="1" x14ac:dyDescent="0.2"/>
    <row r="92" spans="1:3" ht="15.75" customHeight="1" x14ac:dyDescent="0.2"/>
    <row r="93" spans="1:3" ht="15.75" customHeight="1" x14ac:dyDescent="0.2"/>
    <row r="94" spans="1:3" ht="15.75" customHeight="1" x14ac:dyDescent="0.2"/>
    <row r="95" spans="1:3" ht="15.75" customHeight="1" x14ac:dyDescent="0.2"/>
    <row r="96" spans="1: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15.140625" customWidth="1"/>
    <col min="3" max="3" width="16.42578125" customWidth="1"/>
    <col min="4" max="4" width="13.85546875" customWidth="1"/>
    <col min="5" max="5" width="14.42578125" customWidth="1"/>
    <col min="6" max="6" width="15.42578125" customWidth="1"/>
    <col min="7" max="7" width="16.28515625" customWidth="1"/>
  </cols>
  <sheetData>
    <row r="1" spans="1:9" ht="15.75" customHeight="1" x14ac:dyDescent="0.2"/>
    <row r="2" spans="1:9" ht="15.75" customHeight="1" x14ac:dyDescent="0.2"/>
    <row r="3" spans="1:9" ht="15.75" customHeight="1" x14ac:dyDescent="0.25">
      <c r="A3" s="35" t="s">
        <v>115</v>
      </c>
      <c r="B3" s="35" t="s">
        <v>309</v>
      </c>
      <c r="C3" s="35" t="s">
        <v>310</v>
      </c>
      <c r="D3" s="35" t="s">
        <v>311</v>
      </c>
      <c r="F3" s="1" t="s">
        <v>115</v>
      </c>
      <c r="G3" s="1" t="s">
        <v>309</v>
      </c>
    </row>
    <row r="4" spans="1:9" ht="15.75" customHeight="1" x14ac:dyDescent="0.25">
      <c r="A4" s="36" t="s">
        <v>119</v>
      </c>
      <c r="B4" s="37">
        <v>100</v>
      </c>
      <c r="C4" s="38">
        <v>700000</v>
      </c>
      <c r="D4" s="39">
        <v>1200000</v>
      </c>
      <c r="F4" s="2" t="s">
        <v>119</v>
      </c>
      <c r="G4" s="2">
        <v>100</v>
      </c>
    </row>
    <row r="5" spans="1:9" ht="15.75" customHeight="1" x14ac:dyDescent="0.25">
      <c r="A5" s="36" t="s">
        <v>123</v>
      </c>
      <c r="B5" s="37">
        <v>500</v>
      </c>
      <c r="C5" s="38">
        <v>3500000</v>
      </c>
      <c r="D5" s="39">
        <v>6000000</v>
      </c>
      <c r="F5" s="2" t="s">
        <v>123</v>
      </c>
      <c r="G5" s="2">
        <v>500</v>
      </c>
    </row>
    <row r="6" spans="1:9" ht="15.75" customHeight="1" x14ac:dyDescent="0.25">
      <c r="A6" s="36" t="s">
        <v>127</v>
      </c>
      <c r="B6" s="40">
        <v>1000</v>
      </c>
      <c r="C6" s="38">
        <v>7000000</v>
      </c>
      <c r="D6" s="39">
        <v>12000000</v>
      </c>
      <c r="F6" s="2" t="s">
        <v>127</v>
      </c>
      <c r="G6" s="41">
        <v>1000</v>
      </c>
    </row>
    <row r="7" spans="1:9" ht="15.75" customHeight="1" x14ac:dyDescent="0.25">
      <c r="A7" s="36" t="s">
        <v>131</v>
      </c>
      <c r="B7" s="40">
        <v>5000</v>
      </c>
      <c r="C7" s="38">
        <v>35000000</v>
      </c>
      <c r="D7" s="39">
        <v>60000000</v>
      </c>
      <c r="F7" s="2" t="s">
        <v>131</v>
      </c>
      <c r="G7" s="41">
        <v>5000</v>
      </c>
    </row>
    <row r="8" spans="1:9" ht="15.75" customHeight="1" x14ac:dyDescent="0.25">
      <c r="A8" s="36" t="s">
        <v>135</v>
      </c>
      <c r="B8" s="40">
        <v>15000</v>
      </c>
      <c r="C8" s="38">
        <v>105000000</v>
      </c>
      <c r="D8" s="39">
        <v>180000000</v>
      </c>
      <c r="F8" s="2" t="s">
        <v>135</v>
      </c>
      <c r="G8" s="41">
        <v>15000</v>
      </c>
    </row>
    <row r="9" spans="1:9" ht="15.75" customHeight="1" x14ac:dyDescent="0.2"/>
    <row r="10" spans="1:9" ht="15.75" customHeight="1" x14ac:dyDescent="0.2"/>
    <row r="11" spans="1:9" ht="15.75" customHeight="1" x14ac:dyDescent="0.25">
      <c r="A11" s="35" t="s">
        <v>115</v>
      </c>
      <c r="B11" s="35" t="s">
        <v>310</v>
      </c>
      <c r="C11" s="35" t="s">
        <v>311</v>
      </c>
      <c r="D11" s="42" t="s">
        <v>312</v>
      </c>
      <c r="E11" s="42" t="s">
        <v>313</v>
      </c>
      <c r="H11" s="8" t="s">
        <v>314</v>
      </c>
      <c r="I11" s="8" t="s">
        <v>85</v>
      </c>
    </row>
    <row r="12" spans="1:9" ht="15.75" customHeight="1" x14ac:dyDescent="0.25">
      <c r="A12" s="36" t="s">
        <v>119</v>
      </c>
      <c r="B12" s="38">
        <v>700000</v>
      </c>
      <c r="C12" s="39">
        <v>1200000</v>
      </c>
      <c r="D12" s="3">
        <f t="shared" ref="D12:E12" si="0">B12-$F12</f>
        <v>-584000</v>
      </c>
      <c r="E12" s="3">
        <f t="shared" si="0"/>
        <v>-84000</v>
      </c>
      <c r="F12" s="18">
        <v>1284000</v>
      </c>
      <c r="H12" s="8" t="s">
        <v>315</v>
      </c>
      <c r="I12" s="19">
        <v>0.01</v>
      </c>
    </row>
    <row r="13" spans="1:9" ht="15.75" customHeight="1" x14ac:dyDescent="0.25">
      <c r="A13" s="36" t="s">
        <v>123</v>
      </c>
      <c r="B13" s="38">
        <v>3500000</v>
      </c>
      <c r="C13" s="39">
        <v>6000000</v>
      </c>
      <c r="D13" s="3">
        <f t="shared" ref="D13:E13" si="1">B13-$F13</f>
        <v>-50000</v>
      </c>
      <c r="E13" s="3">
        <f t="shared" si="1"/>
        <v>2450000</v>
      </c>
      <c r="F13" s="18">
        <v>3550000</v>
      </c>
      <c r="H13" s="8" t="s">
        <v>316</v>
      </c>
      <c r="I13" s="8" t="s">
        <v>315</v>
      </c>
    </row>
    <row r="14" spans="1:9" ht="15.75" customHeight="1" x14ac:dyDescent="0.25">
      <c r="A14" s="36" t="s">
        <v>127</v>
      </c>
      <c r="B14" s="38">
        <v>7000000</v>
      </c>
      <c r="C14" s="39">
        <v>12000000</v>
      </c>
      <c r="D14" s="3">
        <f t="shared" ref="D14:E14" si="2">B14-$F14</f>
        <v>-340000</v>
      </c>
      <c r="E14" s="3">
        <f t="shared" si="2"/>
        <v>4660000</v>
      </c>
      <c r="F14" s="18">
        <v>7340000</v>
      </c>
    </row>
    <row r="15" spans="1:9" ht="15.75" customHeight="1" x14ac:dyDescent="0.25">
      <c r="A15" s="36" t="s">
        <v>131</v>
      </c>
      <c r="B15" s="38">
        <v>35000000</v>
      </c>
      <c r="C15" s="39">
        <v>60000000</v>
      </c>
      <c r="D15" s="3">
        <f t="shared" ref="D15:E15" si="3">B15-$F15</f>
        <v>13465000</v>
      </c>
      <c r="E15" s="3">
        <f t="shared" si="3"/>
        <v>38465000</v>
      </c>
      <c r="F15" s="18">
        <v>21535000</v>
      </c>
    </row>
    <row r="16" spans="1:9" ht="15.75" customHeight="1" x14ac:dyDescent="0.25">
      <c r="A16" s="36" t="s">
        <v>135</v>
      </c>
      <c r="B16" s="38">
        <v>105000000</v>
      </c>
      <c r="C16" s="39">
        <v>180000000</v>
      </c>
      <c r="D16" s="3">
        <f t="shared" ref="D16:E16" si="4">B16-$F16</f>
        <v>47675000</v>
      </c>
      <c r="E16" s="3">
        <f t="shared" si="4"/>
        <v>122675000</v>
      </c>
      <c r="F16" s="18">
        <v>57325000</v>
      </c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tabSelected="1" workbookViewId="0">
      <selection sqref="A1:C1"/>
    </sheetView>
  </sheetViews>
  <sheetFormatPr defaultColWidth="12.5703125" defaultRowHeight="15" customHeight="1" x14ac:dyDescent="0.2"/>
  <cols>
    <col min="1" max="2" width="14" customWidth="1"/>
    <col min="3" max="3" width="17.140625" customWidth="1"/>
    <col min="4" max="20" width="14" customWidth="1"/>
    <col min="21" max="21" width="41.140625" customWidth="1"/>
    <col min="22" max="27" width="14" customWidth="1"/>
  </cols>
  <sheetData>
    <row r="1" spans="1:27" ht="15.75" customHeight="1" x14ac:dyDescent="0.25">
      <c r="A1" s="72" t="s">
        <v>317</v>
      </c>
      <c r="B1" s="73"/>
      <c r="C1" s="74"/>
      <c r="D1" s="43"/>
      <c r="E1" s="44"/>
      <c r="F1" s="75" t="s">
        <v>318</v>
      </c>
      <c r="G1" s="73"/>
      <c r="H1" s="73"/>
      <c r="I1" s="73"/>
      <c r="J1" s="73"/>
      <c r="K1" s="74"/>
      <c r="L1" s="44"/>
      <c r="M1" s="76" t="s">
        <v>319</v>
      </c>
      <c r="N1" s="73"/>
      <c r="O1" s="73"/>
      <c r="P1" s="73"/>
      <c r="Q1" s="73"/>
      <c r="R1" s="74"/>
      <c r="S1" s="44"/>
      <c r="T1" s="44"/>
      <c r="U1" s="45" t="s">
        <v>284</v>
      </c>
      <c r="V1" s="46" t="s">
        <v>320</v>
      </c>
      <c r="W1" s="46" t="s">
        <v>321</v>
      </c>
      <c r="X1" s="46" t="s">
        <v>322</v>
      </c>
      <c r="Y1" s="46" t="s">
        <v>323</v>
      </c>
      <c r="Z1" s="46" t="s">
        <v>324</v>
      </c>
      <c r="AA1" s="46" t="s">
        <v>325</v>
      </c>
    </row>
    <row r="2" spans="1:27" ht="15.75" customHeight="1" x14ac:dyDescent="0.2">
      <c r="A2" s="47" t="s">
        <v>326</v>
      </c>
      <c r="B2" s="47" t="s">
        <v>327</v>
      </c>
      <c r="C2" s="43" t="s">
        <v>328</v>
      </c>
      <c r="D2" s="43" t="s">
        <v>329</v>
      </c>
      <c r="E2" s="43" t="s">
        <v>329</v>
      </c>
      <c r="F2" s="43" t="s">
        <v>328</v>
      </c>
      <c r="G2" s="43">
        <v>100</v>
      </c>
      <c r="H2" s="43">
        <v>500</v>
      </c>
      <c r="I2" s="43">
        <v>1000</v>
      </c>
      <c r="J2" s="43">
        <v>5000</v>
      </c>
      <c r="K2" s="43">
        <v>15000</v>
      </c>
      <c r="L2" s="44"/>
      <c r="M2" s="43" t="s">
        <v>328</v>
      </c>
      <c r="N2" s="43">
        <v>100</v>
      </c>
      <c r="O2" s="43">
        <v>500</v>
      </c>
      <c r="P2" s="43">
        <v>1000</v>
      </c>
      <c r="Q2" s="43">
        <v>5000</v>
      </c>
      <c r="R2" s="43">
        <v>15000</v>
      </c>
      <c r="S2" s="44"/>
      <c r="T2" s="44"/>
      <c r="U2" s="48" t="s">
        <v>330</v>
      </c>
      <c r="V2" s="48"/>
      <c r="W2" s="48"/>
      <c r="X2" s="48"/>
      <c r="Y2" s="48"/>
      <c r="Z2" s="48"/>
      <c r="AA2" s="48"/>
    </row>
    <row r="3" spans="1:27" ht="15.75" customHeight="1" x14ac:dyDescent="0.2">
      <c r="A3" s="49">
        <f t="shared" ref="A3:A10" si="0">7000*C3</f>
        <v>700000</v>
      </c>
      <c r="B3" s="49">
        <f t="shared" ref="B3:B10" si="1">12000*C3</f>
        <v>1200000</v>
      </c>
      <c r="C3" s="50">
        <v>100</v>
      </c>
      <c r="D3" s="50">
        <v>1</v>
      </c>
      <c r="E3" s="51">
        <v>1284000</v>
      </c>
      <c r="F3" s="50" t="s">
        <v>255</v>
      </c>
      <c r="G3" s="49">
        <f t="shared" ref="G3:K3" si="2">80*G2*5</f>
        <v>40000</v>
      </c>
      <c r="H3" s="49">
        <f t="shared" si="2"/>
        <v>200000</v>
      </c>
      <c r="I3" s="49">
        <f t="shared" si="2"/>
        <v>400000</v>
      </c>
      <c r="J3" s="49">
        <f t="shared" si="2"/>
        <v>2000000</v>
      </c>
      <c r="K3" s="49">
        <f t="shared" si="2"/>
        <v>6000000</v>
      </c>
      <c r="L3" s="44"/>
      <c r="M3" s="50" t="s">
        <v>255</v>
      </c>
      <c r="N3" s="49">
        <f t="shared" ref="N3:R3" si="3">80*N2*3</f>
        <v>24000</v>
      </c>
      <c r="O3" s="49">
        <f t="shared" si="3"/>
        <v>120000</v>
      </c>
      <c r="P3" s="49">
        <f t="shared" si="3"/>
        <v>240000</v>
      </c>
      <c r="Q3" s="49">
        <f t="shared" si="3"/>
        <v>1200000</v>
      </c>
      <c r="R3" s="49">
        <f t="shared" si="3"/>
        <v>3600000</v>
      </c>
      <c r="S3" s="44"/>
      <c r="T3" s="44"/>
      <c r="U3" s="48" t="s">
        <v>331</v>
      </c>
      <c r="V3" s="48">
        <v>10000</v>
      </c>
      <c r="W3" s="48">
        <f t="shared" ref="W3:W6" si="4">V3*1</f>
        <v>10000</v>
      </c>
      <c r="X3" s="48">
        <f t="shared" ref="X3:AA3" si="5">W3*2</f>
        <v>20000</v>
      </c>
      <c r="Y3" s="48">
        <f t="shared" si="5"/>
        <v>40000</v>
      </c>
      <c r="Z3" s="48">
        <f t="shared" si="5"/>
        <v>80000</v>
      </c>
      <c r="AA3" s="48">
        <f t="shared" si="5"/>
        <v>160000</v>
      </c>
    </row>
    <row r="4" spans="1:27" ht="15.75" customHeight="1" x14ac:dyDescent="0.2">
      <c r="A4" s="49">
        <f t="shared" si="0"/>
        <v>3500000</v>
      </c>
      <c r="B4" s="49">
        <f t="shared" si="1"/>
        <v>6000000</v>
      </c>
      <c r="C4" s="50">
        <v>500</v>
      </c>
      <c r="D4" s="50">
        <v>2</v>
      </c>
      <c r="E4" s="51">
        <v>3550000</v>
      </c>
      <c r="F4" s="50" t="s">
        <v>257</v>
      </c>
      <c r="G4" s="49">
        <f t="shared" ref="G4:K4" si="6">2000*G2</f>
        <v>200000</v>
      </c>
      <c r="H4" s="49">
        <f t="shared" si="6"/>
        <v>1000000</v>
      </c>
      <c r="I4" s="49">
        <f t="shared" si="6"/>
        <v>2000000</v>
      </c>
      <c r="J4" s="49">
        <f t="shared" si="6"/>
        <v>10000000</v>
      </c>
      <c r="K4" s="49">
        <f t="shared" si="6"/>
        <v>30000000</v>
      </c>
      <c r="L4" s="52"/>
      <c r="M4" s="50" t="s">
        <v>257</v>
      </c>
      <c r="N4" s="49">
        <v>0</v>
      </c>
      <c r="O4" s="49">
        <v>0</v>
      </c>
      <c r="P4" s="49">
        <v>0</v>
      </c>
      <c r="Q4" s="49">
        <v>0</v>
      </c>
      <c r="R4" s="49">
        <v>0</v>
      </c>
      <c r="S4" s="44"/>
      <c r="T4" s="44"/>
      <c r="U4" s="48" t="s">
        <v>332</v>
      </c>
      <c r="V4" s="48">
        <v>5000</v>
      </c>
      <c r="W4" s="48">
        <f t="shared" si="4"/>
        <v>5000</v>
      </c>
      <c r="X4" s="48">
        <f t="shared" ref="X4:AA4" si="7">W4*2</f>
        <v>10000</v>
      </c>
      <c r="Y4" s="48">
        <f t="shared" si="7"/>
        <v>20000</v>
      </c>
      <c r="Z4" s="48">
        <f t="shared" si="7"/>
        <v>40000</v>
      </c>
      <c r="AA4" s="48">
        <f t="shared" si="7"/>
        <v>80000</v>
      </c>
    </row>
    <row r="5" spans="1:27" ht="15.75" customHeight="1" x14ac:dyDescent="0.2">
      <c r="A5" s="47">
        <f t="shared" si="0"/>
        <v>7000000</v>
      </c>
      <c r="B5" s="47">
        <f t="shared" si="1"/>
        <v>12000000</v>
      </c>
      <c r="C5" s="43">
        <v>1000</v>
      </c>
      <c r="D5" s="43">
        <v>3</v>
      </c>
      <c r="E5" s="53">
        <v>7340000</v>
      </c>
      <c r="F5" s="43" t="s">
        <v>259</v>
      </c>
      <c r="G5" s="47">
        <f t="shared" ref="G5:K5" si="8">400*G2</f>
        <v>40000</v>
      </c>
      <c r="H5" s="47">
        <f t="shared" si="8"/>
        <v>200000</v>
      </c>
      <c r="I5" s="47">
        <f t="shared" si="8"/>
        <v>400000</v>
      </c>
      <c r="J5" s="47">
        <f t="shared" si="8"/>
        <v>2000000</v>
      </c>
      <c r="K5" s="47">
        <f t="shared" si="8"/>
        <v>6000000</v>
      </c>
      <c r="L5" s="54"/>
      <c r="M5" s="43" t="s">
        <v>259</v>
      </c>
      <c r="N5" s="47">
        <f t="shared" ref="N5:R5" si="9">400*N2</f>
        <v>40000</v>
      </c>
      <c r="O5" s="47">
        <f t="shared" si="9"/>
        <v>200000</v>
      </c>
      <c r="P5" s="47">
        <f t="shared" si="9"/>
        <v>400000</v>
      </c>
      <c r="Q5" s="47">
        <f t="shared" si="9"/>
        <v>2000000</v>
      </c>
      <c r="R5" s="47">
        <f t="shared" si="9"/>
        <v>6000000</v>
      </c>
      <c r="S5" s="54"/>
      <c r="T5" s="54"/>
      <c r="U5" s="45" t="s">
        <v>333</v>
      </c>
      <c r="V5" s="45">
        <v>5000</v>
      </c>
      <c r="W5" s="45">
        <f t="shared" si="4"/>
        <v>5000</v>
      </c>
      <c r="X5" s="45">
        <f t="shared" ref="X5:Y5" si="10">W5*2</f>
        <v>10000</v>
      </c>
      <c r="Y5" s="45">
        <f t="shared" si="10"/>
        <v>20000</v>
      </c>
      <c r="Z5" s="45">
        <v>20000</v>
      </c>
      <c r="AA5" s="45">
        <v>20000</v>
      </c>
    </row>
    <row r="6" spans="1:27" ht="15.75" customHeight="1" x14ac:dyDescent="0.2">
      <c r="A6" s="49">
        <f t="shared" si="0"/>
        <v>35000000</v>
      </c>
      <c r="B6" s="49">
        <f t="shared" si="1"/>
        <v>60000000</v>
      </c>
      <c r="C6" s="50">
        <v>5000</v>
      </c>
      <c r="D6" s="50">
        <v>4</v>
      </c>
      <c r="E6" s="51">
        <v>21535000</v>
      </c>
      <c r="F6" s="50"/>
      <c r="G6" s="50"/>
      <c r="H6" s="50"/>
      <c r="I6" s="50"/>
      <c r="J6" s="50"/>
      <c r="K6" s="50"/>
      <c r="L6" s="52"/>
      <c r="M6" s="50"/>
      <c r="N6" s="50"/>
      <c r="O6" s="50"/>
      <c r="P6" s="50"/>
      <c r="Q6" s="50"/>
      <c r="R6" s="50"/>
      <c r="S6" s="44"/>
      <c r="T6" s="44"/>
      <c r="U6" s="48" t="s">
        <v>334</v>
      </c>
      <c r="V6" s="48">
        <v>50000</v>
      </c>
      <c r="W6" s="48">
        <f t="shared" si="4"/>
        <v>50000</v>
      </c>
      <c r="X6" s="48">
        <f t="shared" ref="X6:Y6" si="11">W6*2</f>
        <v>100000</v>
      </c>
      <c r="Y6" s="48">
        <f t="shared" si="11"/>
        <v>200000</v>
      </c>
      <c r="Z6" s="48">
        <v>200000</v>
      </c>
      <c r="AA6" s="48">
        <v>200000</v>
      </c>
    </row>
    <row r="7" spans="1:27" ht="15.75" customHeight="1" x14ac:dyDescent="0.2">
      <c r="A7" s="49">
        <f t="shared" si="0"/>
        <v>105000000</v>
      </c>
      <c r="B7" s="49">
        <f t="shared" si="1"/>
        <v>180000000</v>
      </c>
      <c r="C7" s="50">
        <v>15000</v>
      </c>
      <c r="D7" s="50">
        <v>5</v>
      </c>
      <c r="E7" s="51">
        <v>57325000</v>
      </c>
      <c r="F7" s="43" t="s">
        <v>335</v>
      </c>
      <c r="G7" s="49">
        <f t="shared" ref="G7:K7" si="12">SUM(G3:G5)</f>
        <v>280000</v>
      </c>
      <c r="H7" s="49">
        <f t="shared" si="12"/>
        <v>1400000</v>
      </c>
      <c r="I7" s="49">
        <f t="shared" si="12"/>
        <v>2800000</v>
      </c>
      <c r="J7" s="49">
        <f t="shared" si="12"/>
        <v>14000000</v>
      </c>
      <c r="K7" s="49">
        <f t="shared" si="12"/>
        <v>42000000</v>
      </c>
      <c r="L7" s="44"/>
      <c r="M7" s="43" t="s">
        <v>335</v>
      </c>
      <c r="N7" s="49">
        <f t="shared" ref="N7:R7" si="13">SUM(N3:N5)</f>
        <v>64000</v>
      </c>
      <c r="O7" s="49">
        <f t="shared" si="13"/>
        <v>320000</v>
      </c>
      <c r="P7" s="49">
        <f t="shared" si="13"/>
        <v>640000</v>
      </c>
      <c r="Q7" s="49">
        <f t="shared" si="13"/>
        <v>3200000</v>
      </c>
      <c r="R7" s="49">
        <f t="shared" si="13"/>
        <v>9600000</v>
      </c>
      <c r="S7" s="44"/>
      <c r="T7" s="44"/>
      <c r="U7" s="48"/>
      <c r="V7" s="48"/>
      <c r="W7" s="48"/>
      <c r="X7" s="48"/>
      <c r="Y7" s="48"/>
      <c r="Z7" s="48"/>
      <c r="AA7" s="48"/>
    </row>
    <row r="8" spans="1:27" ht="15.75" customHeight="1" x14ac:dyDescent="0.2">
      <c r="A8" s="49">
        <f t="shared" si="0"/>
        <v>350000000</v>
      </c>
      <c r="B8" s="49">
        <f t="shared" si="1"/>
        <v>600000000</v>
      </c>
      <c r="C8" s="50">
        <v>50000</v>
      </c>
      <c r="D8" s="47"/>
      <c r="E8" s="47"/>
      <c r="F8" s="44"/>
      <c r="G8" s="44"/>
      <c r="H8" s="44"/>
      <c r="I8" s="44"/>
      <c r="J8" s="44"/>
      <c r="K8" s="44"/>
      <c r="L8" s="44"/>
      <c r="M8" s="44"/>
      <c r="N8" s="44"/>
      <c r="O8" s="51"/>
      <c r="P8" s="51"/>
      <c r="Q8" s="44"/>
      <c r="R8" s="44"/>
      <c r="S8" s="44"/>
      <c r="T8" s="44"/>
      <c r="U8" s="48" t="s">
        <v>336</v>
      </c>
      <c r="V8" s="48"/>
      <c r="W8" s="48"/>
      <c r="X8" s="48"/>
      <c r="Y8" s="48"/>
      <c r="Z8" s="48"/>
      <c r="AA8" s="48"/>
    </row>
    <row r="9" spans="1:27" ht="15.75" customHeight="1" x14ac:dyDescent="0.2">
      <c r="A9" s="49">
        <f t="shared" si="0"/>
        <v>1750000000</v>
      </c>
      <c r="B9" s="49">
        <f t="shared" si="1"/>
        <v>3000000000</v>
      </c>
      <c r="C9" s="50">
        <v>250000</v>
      </c>
      <c r="D9" s="45"/>
      <c r="E9" s="45"/>
      <c r="F9" s="44"/>
      <c r="G9" s="44"/>
      <c r="H9" s="44"/>
      <c r="I9" s="44"/>
      <c r="J9" s="44"/>
      <c r="K9" s="44"/>
      <c r="L9" s="44"/>
      <c r="M9" s="44"/>
      <c r="N9" s="44"/>
      <c r="O9" s="51"/>
      <c r="P9" s="51"/>
      <c r="Q9" s="44"/>
      <c r="R9" s="44"/>
      <c r="S9" s="44"/>
      <c r="T9" s="44"/>
      <c r="U9" s="48" t="s">
        <v>337</v>
      </c>
      <c r="V9" s="48">
        <v>100000</v>
      </c>
      <c r="W9" s="48">
        <f>V9*2</f>
        <v>200000</v>
      </c>
      <c r="X9" s="48">
        <f t="shared" ref="X9:Z9" si="14">V9*2</f>
        <v>200000</v>
      </c>
      <c r="Y9" s="48">
        <f t="shared" si="14"/>
        <v>400000</v>
      </c>
      <c r="Z9" s="48">
        <f t="shared" si="14"/>
        <v>400000</v>
      </c>
      <c r="AA9" s="48">
        <v>400000</v>
      </c>
    </row>
    <row r="10" spans="1:27" ht="15.75" customHeight="1" x14ac:dyDescent="0.2">
      <c r="A10" s="49">
        <f t="shared" si="0"/>
        <v>10500000000</v>
      </c>
      <c r="B10" s="49">
        <f t="shared" si="1"/>
        <v>18000000000</v>
      </c>
      <c r="C10" s="50">
        <v>1500000</v>
      </c>
      <c r="D10" s="44"/>
      <c r="E10" s="44"/>
      <c r="F10" s="76" t="s">
        <v>338</v>
      </c>
      <c r="G10" s="73"/>
      <c r="H10" s="73"/>
      <c r="I10" s="73"/>
      <c r="J10" s="73"/>
      <c r="K10" s="74"/>
      <c r="L10" s="52"/>
      <c r="M10" s="44"/>
      <c r="N10" s="77"/>
      <c r="O10" s="78"/>
      <c r="P10" s="78"/>
      <c r="Q10" s="78"/>
      <c r="R10" s="78"/>
      <c r="S10" s="78"/>
      <c r="T10" s="44"/>
      <c r="U10" s="48" t="s">
        <v>339</v>
      </c>
      <c r="V10" s="48">
        <v>100000</v>
      </c>
      <c r="W10" s="48">
        <f t="shared" ref="W10:W12" si="15">V10*1</f>
        <v>100000</v>
      </c>
      <c r="X10" s="48">
        <f>V10*2</f>
        <v>200000</v>
      </c>
      <c r="Y10" s="48">
        <f>W10*4</f>
        <v>400000</v>
      </c>
      <c r="Z10" s="48">
        <f>X10*2</f>
        <v>400000</v>
      </c>
      <c r="AA10" s="48">
        <f>V10*6</f>
        <v>600000</v>
      </c>
    </row>
    <row r="11" spans="1:27" ht="15.75" customHeight="1" x14ac:dyDescent="0.2">
      <c r="A11" s="49"/>
      <c r="B11" s="49"/>
      <c r="C11" s="44"/>
      <c r="D11" s="44"/>
      <c r="E11" s="44"/>
      <c r="F11" s="50" t="s">
        <v>328</v>
      </c>
      <c r="G11" s="50">
        <v>100</v>
      </c>
      <c r="H11" s="50">
        <v>500</v>
      </c>
      <c r="I11" s="50">
        <v>1000</v>
      </c>
      <c r="J11" s="50">
        <v>5000</v>
      </c>
      <c r="K11" s="50">
        <v>15000</v>
      </c>
      <c r="L11" s="52"/>
      <c r="M11" s="44"/>
      <c r="N11" s="55"/>
      <c r="O11" s="55"/>
      <c r="P11" s="55"/>
      <c r="Q11" s="55"/>
      <c r="R11" s="55"/>
      <c r="S11" s="55"/>
      <c r="T11" s="44"/>
      <c r="U11" s="48" t="s">
        <v>340</v>
      </c>
      <c r="V11" s="48">
        <v>60000</v>
      </c>
      <c r="W11" s="48">
        <f t="shared" si="15"/>
        <v>60000</v>
      </c>
      <c r="X11" s="48">
        <f t="shared" ref="X11:X12" si="16">V11*3</f>
        <v>180000</v>
      </c>
      <c r="Y11" s="48">
        <f>V11*8</f>
        <v>480000</v>
      </c>
      <c r="Z11" s="48">
        <f>V11*10</f>
        <v>600000</v>
      </c>
      <c r="AA11" s="48">
        <f>V11*12</f>
        <v>720000</v>
      </c>
    </row>
    <row r="12" spans="1:27" ht="15.75" customHeight="1" x14ac:dyDescent="0.2">
      <c r="A12" s="51"/>
      <c r="B12" s="51"/>
      <c r="C12" s="51"/>
      <c r="D12" s="51"/>
      <c r="E12" s="51"/>
      <c r="F12" s="50" t="s">
        <v>255</v>
      </c>
      <c r="G12" s="49">
        <f t="shared" ref="G12:K12" si="17">G3+N3</f>
        <v>64000</v>
      </c>
      <c r="H12" s="49">
        <f t="shared" si="17"/>
        <v>320000</v>
      </c>
      <c r="I12" s="49">
        <f t="shared" si="17"/>
        <v>640000</v>
      </c>
      <c r="J12" s="49">
        <f t="shared" si="17"/>
        <v>3200000</v>
      </c>
      <c r="K12" s="49">
        <f t="shared" si="17"/>
        <v>9600000</v>
      </c>
      <c r="L12" s="52"/>
      <c r="M12" s="44"/>
      <c r="N12" s="55"/>
      <c r="O12" s="56"/>
      <c r="P12" s="56"/>
      <c r="Q12" s="56"/>
      <c r="R12" s="56"/>
      <c r="S12" s="56"/>
      <c r="T12" s="44"/>
      <c r="U12" s="48" t="s">
        <v>341</v>
      </c>
      <c r="V12" s="48">
        <v>40000</v>
      </c>
      <c r="W12" s="48">
        <f t="shared" si="15"/>
        <v>40000</v>
      </c>
      <c r="X12" s="48">
        <f t="shared" si="16"/>
        <v>120000</v>
      </c>
      <c r="Y12" s="48">
        <f>V12*6</f>
        <v>240000</v>
      </c>
      <c r="Z12" s="48">
        <f>V12*8</f>
        <v>320000</v>
      </c>
      <c r="AA12" s="48">
        <f>W12*12</f>
        <v>480000</v>
      </c>
    </row>
    <row r="13" spans="1:27" ht="15.75" customHeight="1" x14ac:dyDescent="0.2">
      <c r="A13" s="44"/>
      <c r="B13" s="44"/>
      <c r="C13" s="44"/>
      <c r="D13" s="44"/>
      <c r="E13" s="44"/>
      <c r="F13" s="50" t="s">
        <v>257</v>
      </c>
      <c r="G13" s="49">
        <f t="shared" ref="G13:K13" si="18">G4+N4</f>
        <v>200000</v>
      </c>
      <c r="H13" s="49">
        <f t="shared" si="18"/>
        <v>1000000</v>
      </c>
      <c r="I13" s="49">
        <f t="shared" si="18"/>
        <v>2000000</v>
      </c>
      <c r="J13" s="49">
        <f t="shared" si="18"/>
        <v>10000000</v>
      </c>
      <c r="K13" s="49">
        <f t="shared" si="18"/>
        <v>30000000</v>
      </c>
      <c r="L13" s="52"/>
      <c r="M13" s="44"/>
      <c r="N13" s="55"/>
      <c r="O13" s="56"/>
      <c r="P13" s="56"/>
      <c r="Q13" s="56"/>
      <c r="R13" s="56"/>
      <c r="S13" s="56"/>
      <c r="T13" s="44"/>
      <c r="U13" s="48"/>
      <c r="V13" s="48"/>
      <c r="W13" s="48"/>
      <c r="X13" s="48"/>
      <c r="Y13" s="48"/>
      <c r="Z13" s="48"/>
      <c r="AA13" s="48"/>
    </row>
    <row r="14" spans="1:27" ht="15.75" customHeight="1" x14ac:dyDescent="0.2">
      <c r="A14" s="50" t="s">
        <v>342</v>
      </c>
      <c r="B14" s="57">
        <v>7.4999999999999997E-2</v>
      </c>
      <c r="C14" s="49">
        <f>D14/7.5</f>
        <v>466666.66666666669</v>
      </c>
      <c r="D14" s="49">
        <f>3500000</f>
        <v>3500000</v>
      </c>
      <c r="E14" s="44"/>
      <c r="F14" s="50" t="s">
        <v>259</v>
      </c>
      <c r="G14" s="49">
        <f t="shared" ref="G14:K14" si="19">G5+N5</f>
        <v>80000</v>
      </c>
      <c r="H14" s="49">
        <f t="shared" si="19"/>
        <v>400000</v>
      </c>
      <c r="I14" s="49">
        <f t="shared" si="19"/>
        <v>800000</v>
      </c>
      <c r="J14" s="49">
        <f t="shared" si="19"/>
        <v>4000000</v>
      </c>
      <c r="K14" s="49">
        <f t="shared" si="19"/>
        <v>12000000</v>
      </c>
      <c r="L14" s="44"/>
      <c r="M14" s="44"/>
      <c r="N14" s="55"/>
      <c r="O14" s="56"/>
      <c r="P14" s="56"/>
      <c r="Q14" s="56"/>
      <c r="R14" s="56"/>
      <c r="S14" s="56"/>
      <c r="T14" s="44"/>
      <c r="U14" s="48" t="s">
        <v>343</v>
      </c>
      <c r="V14" s="48"/>
      <c r="W14" s="48"/>
      <c r="X14" s="48"/>
      <c r="Y14" s="48"/>
      <c r="Z14" s="48"/>
      <c r="AA14" s="48"/>
    </row>
    <row r="15" spans="1:27" ht="15.75" customHeight="1" x14ac:dyDescent="0.2">
      <c r="A15" s="50" t="s">
        <v>344</v>
      </c>
      <c r="B15" s="57">
        <v>7.4999999999999997E-2</v>
      </c>
      <c r="C15" s="49">
        <v>125000</v>
      </c>
      <c r="D15" s="49">
        <f>(100%/B15)*C15</f>
        <v>1666666.6666666667</v>
      </c>
      <c r="E15" s="44"/>
      <c r="F15" s="50"/>
      <c r="G15" s="50"/>
      <c r="H15" s="50"/>
      <c r="I15" s="50"/>
      <c r="J15" s="50"/>
      <c r="K15" s="50"/>
      <c r="L15" s="44"/>
      <c r="M15" s="44"/>
      <c r="N15" s="55"/>
      <c r="O15" s="55"/>
      <c r="P15" s="55"/>
      <c r="Q15" s="55"/>
      <c r="R15" s="55"/>
      <c r="S15" s="55"/>
      <c r="T15" s="44"/>
      <c r="U15" s="48" t="s">
        <v>345</v>
      </c>
      <c r="V15" s="48">
        <v>10000</v>
      </c>
      <c r="W15" s="48">
        <f t="shared" ref="W15:W18" si="20">V15*1</f>
        <v>10000</v>
      </c>
      <c r="X15" s="48">
        <f t="shared" ref="X15:X18" si="21">V15*2</f>
        <v>20000</v>
      </c>
      <c r="Y15" s="48">
        <f t="shared" ref="Y15:Y16" si="22">V15*8</f>
        <v>80000</v>
      </c>
      <c r="Z15" s="48">
        <f>V15*12</f>
        <v>120000</v>
      </c>
      <c r="AA15" s="48">
        <f>W15*15</f>
        <v>150000</v>
      </c>
    </row>
    <row r="16" spans="1:27" ht="15.75" customHeight="1" x14ac:dyDescent="0.2">
      <c r="A16" s="50" t="s">
        <v>346</v>
      </c>
      <c r="B16" s="57">
        <v>7.4999999999999997E-2</v>
      </c>
      <c r="C16" s="49">
        <f t="shared" ref="C16:C18" si="23">D16/7.5</f>
        <v>200000</v>
      </c>
      <c r="D16" s="49">
        <f>1500000</f>
        <v>1500000</v>
      </c>
      <c r="E16" s="44"/>
      <c r="F16" s="43" t="s">
        <v>335</v>
      </c>
      <c r="G16" s="47">
        <f t="shared" ref="G16:K16" si="24">SUM(G12:G14)</f>
        <v>344000</v>
      </c>
      <c r="H16" s="47">
        <f t="shared" si="24"/>
        <v>1720000</v>
      </c>
      <c r="I16" s="47">
        <f t="shared" si="24"/>
        <v>3440000</v>
      </c>
      <c r="J16" s="47">
        <f t="shared" si="24"/>
        <v>17200000</v>
      </c>
      <c r="K16" s="47">
        <f t="shared" si="24"/>
        <v>51600000</v>
      </c>
      <c r="L16" s="44"/>
      <c r="M16" s="44"/>
      <c r="N16" s="58"/>
      <c r="O16" s="59"/>
      <c r="P16" s="59"/>
      <c r="Q16" s="59"/>
      <c r="R16" s="59"/>
      <c r="S16" s="59"/>
      <c r="T16" s="44"/>
      <c r="U16" s="48" t="s">
        <v>347</v>
      </c>
      <c r="V16" s="48">
        <v>100000</v>
      </c>
      <c r="W16" s="48">
        <f t="shared" si="20"/>
        <v>100000</v>
      </c>
      <c r="X16" s="48">
        <f t="shared" si="21"/>
        <v>200000</v>
      </c>
      <c r="Y16" s="48">
        <f t="shared" si="22"/>
        <v>800000</v>
      </c>
      <c r="Z16" s="48">
        <f t="shared" ref="Z16:Z18" si="25">V16*10</f>
        <v>1000000</v>
      </c>
      <c r="AA16" s="48">
        <f t="shared" ref="AA16:AA18" si="26">V16*12</f>
        <v>1200000</v>
      </c>
    </row>
    <row r="17" spans="1:27" ht="15.75" customHeight="1" x14ac:dyDescent="0.2">
      <c r="A17" s="50" t="s">
        <v>348</v>
      </c>
      <c r="B17" s="57">
        <v>7.4999999999999997E-2</v>
      </c>
      <c r="C17" s="49">
        <f t="shared" si="23"/>
        <v>133333.33333333334</v>
      </c>
      <c r="D17" s="49">
        <f>1000000</f>
        <v>1000000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51"/>
      <c r="P17" s="51"/>
      <c r="Q17" s="44"/>
      <c r="R17" s="44"/>
      <c r="S17" s="44"/>
      <c r="T17" s="44"/>
      <c r="U17" s="48" t="s">
        <v>349</v>
      </c>
      <c r="V17" s="48">
        <v>10000</v>
      </c>
      <c r="W17" s="48">
        <f t="shared" si="20"/>
        <v>10000</v>
      </c>
      <c r="X17" s="48">
        <f t="shared" si="21"/>
        <v>20000</v>
      </c>
      <c r="Y17" s="48">
        <f>V17*6</f>
        <v>60000</v>
      </c>
      <c r="Z17" s="48">
        <f t="shared" si="25"/>
        <v>100000</v>
      </c>
      <c r="AA17" s="48">
        <f t="shared" si="26"/>
        <v>120000</v>
      </c>
    </row>
    <row r="18" spans="1:27" ht="15.75" customHeight="1" x14ac:dyDescent="0.2">
      <c r="A18" s="50" t="s">
        <v>350</v>
      </c>
      <c r="B18" s="57">
        <v>7.4999999999999997E-2</v>
      </c>
      <c r="C18" s="49">
        <f t="shared" si="23"/>
        <v>66666.666666666672</v>
      </c>
      <c r="D18" s="49">
        <v>500000</v>
      </c>
      <c r="E18" s="44"/>
      <c r="F18" s="44"/>
      <c r="G18" s="51">
        <f>G16/100</f>
        <v>3440</v>
      </c>
      <c r="H18" s="51">
        <f>G18*1.15</f>
        <v>3955.9999999999995</v>
      </c>
      <c r="I18" s="44"/>
      <c r="J18" s="44"/>
      <c r="K18" s="44"/>
      <c r="L18" s="44"/>
      <c r="M18" s="44"/>
      <c r="N18" s="44"/>
      <c r="O18" s="51"/>
      <c r="P18" s="51"/>
      <c r="Q18" s="44"/>
      <c r="R18" s="44"/>
      <c r="S18" s="44"/>
      <c r="T18" s="44"/>
      <c r="U18" s="48" t="s">
        <v>351</v>
      </c>
      <c r="V18" s="48">
        <v>10000</v>
      </c>
      <c r="W18" s="48">
        <f t="shared" si="20"/>
        <v>10000</v>
      </c>
      <c r="X18" s="48">
        <f t="shared" si="21"/>
        <v>20000</v>
      </c>
      <c r="Y18" s="48">
        <f>V18*7</f>
        <v>70000</v>
      </c>
      <c r="Z18" s="48">
        <f t="shared" si="25"/>
        <v>100000</v>
      </c>
      <c r="AA18" s="48">
        <f t="shared" si="26"/>
        <v>120000</v>
      </c>
    </row>
    <row r="19" spans="1:27" ht="15.75" customHeight="1" x14ac:dyDescent="0.2">
      <c r="A19" s="44"/>
      <c r="B19" s="57">
        <v>0.05</v>
      </c>
      <c r="C19" s="49">
        <v>125000</v>
      </c>
      <c r="D19" s="49">
        <f t="shared" ref="D19:D25" si="27">(100%/B19)*C19</f>
        <v>2500000</v>
      </c>
      <c r="E19" s="44"/>
      <c r="F19" s="44"/>
      <c r="G19" s="51">
        <v>6000</v>
      </c>
      <c r="H19" s="51">
        <v>5000</v>
      </c>
      <c r="I19" s="44"/>
      <c r="J19" s="44" t="s">
        <v>352</v>
      </c>
      <c r="K19" s="51">
        <f>G18+2000</f>
        <v>5440</v>
      </c>
      <c r="L19" s="44"/>
      <c r="M19" s="44"/>
      <c r="N19" s="44"/>
      <c r="O19" s="44"/>
      <c r="P19" s="44"/>
      <c r="Q19" s="44"/>
      <c r="R19" s="44"/>
      <c r="S19" s="44"/>
      <c r="T19" s="44"/>
      <c r="U19" s="48"/>
      <c r="V19" s="48"/>
      <c r="W19" s="48"/>
      <c r="X19" s="48"/>
      <c r="Y19" s="48"/>
      <c r="Z19" s="48"/>
      <c r="AA19" s="48"/>
    </row>
    <row r="20" spans="1:27" ht="15.75" customHeight="1" x14ac:dyDescent="0.2">
      <c r="A20" s="44"/>
      <c r="B20" s="57">
        <v>0.05</v>
      </c>
      <c r="C20" s="49">
        <v>100000</v>
      </c>
      <c r="D20" s="49">
        <f t="shared" si="27"/>
        <v>2000000</v>
      </c>
      <c r="E20" s="44"/>
      <c r="F20" s="44"/>
      <c r="G20" s="51">
        <v>10000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8" t="s">
        <v>353</v>
      </c>
      <c r="V20" s="48"/>
      <c r="W20" s="48"/>
      <c r="X20" s="48"/>
      <c r="Y20" s="48"/>
      <c r="Z20" s="48"/>
      <c r="AA20" s="48"/>
    </row>
    <row r="21" spans="1:27" ht="15.75" customHeight="1" x14ac:dyDescent="0.2">
      <c r="A21" s="44"/>
      <c r="B21" s="57">
        <v>0.05</v>
      </c>
      <c r="C21" s="49">
        <v>75000</v>
      </c>
      <c r="D21" s="49">
        <f t="shared" si="27"/>
        <v>1500000</v>
      </c>
      <c r="E21" s="44"/>
      <c r="F21" s="44"/>
      <c r="G21" s="51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8" t="s">
        <v>354</v>
      </c>
      <c r="V21" s="48">
        <v>5000</v>
      </c>
      <c r="W21" s="48">
        <f t="shared" ref="W21:W23" si="28">V21*1</f>
        <v>5000</v>
      </c>
      <c r="X21" s="48">
        <f>V21*4</f>
        <v>20000</v>
      </c>
      <c r="Y21" s="48">
        <f t="shared" ref="Y21:Y23" si="29">V21*8</f>
        <v>40000</v>
      </c>
      <c r="Z21" s="48">
        <f t="shared" ref="Z21:Z23" si="30">V21*12</f>
        <v>60000</v>
      </c>
      <c r="AA21" s="48">
        <f>V21*20</f>
        <v>100000</v>
      </c>
    </row>
    <row r="22" spans="1:27" ht="15.75" customHeight="1" x14ac:dyDescent="0.2">
      <c r="A22" s="44"/>
      <c r="B22" s="60">
        <v>0.05</v>
      </c>
      <c r="C22" s="61">
        <v>50000</v>
      </c>
      <c r="D22" s="61">
        <f t="shared" si="27"/>
        <v>1000000</v>
      </c>
      <c r="E22" s="44" t="s">
        <v>355</v>
      </c>
      <c r="F22" s="44" t="s">
        <v>356</v>
      </c>
      <c r="G22" s="51">
        <v>8000</v>
      </c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8" t="s">
        <v>357</v>
      </c>
      <c r="V22" s="48">
        <v>0</v>
      </c>
      <c r="W22" s="48">
        <f t="shared" si="28"/>
        <v>0</v>
      </c>
      <c r="X22" s="48">
        <f t="shared" ref="X22:X23" si="31">V22*3</f>
        <v>0</v>
      </c>
      <c r="Y22" s="48">
        <f t="shared" si="29"/>
        <v>0</v>
      </c>
      <c r="Z22" s="48">
        <f t="shared" si="30"/>
        <v>0</v>
      </c>
      <c r="AA22" s="48">
        <f>V22*10</f>
        <v>0</v>
      </c>
    </row>
    <row r="23" spans="1:27" ht="15.75" customHeight="1" x14ac:dyDescent="0.2">
      <c r="A23" s="44"/>
      <c r="B23" s="62">
        <v>0.2</v>
      </c>
      <c r="C23" s="63">
        <v>120000</v>
      </c>
      <c r="D23" s="64">
        <f t="shared" si="27"/>
        <v>600000</v>
      </c>
      <c r="E23" s="44" t="s">
        <v>17</v>
      </c>
      <c r="F23" s="44" t="s">
        <v>356</v>
      </c>
      <c r="G23" s="51">
        <v>7000</v>
      </c>
      <c r="H23" s="65">
        <f>1000/G22</f>
        <v>0.125</v>
      </c>
      <c r="I23" s="54" t="s">
        <v>358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8" t="s">
        <v>359</v>
      </c>
      <c r="V23" s="48">
        <v>5000</v>
      </c>
      <c r="W23" s="48">
        <f t="shared" si="28"/>
        <v>5000</v>
      </c>
      <c r="X23" s="48">
        <f t="shared" si="31"/>
        <v>15000</v>
      </c>
      <c r="Y23" s="48">
        <f t="shared" si="29"/>
        <v>40000</v>
      </c>
      <c r="Z23" s="48">
        <f t="shared" si="30"/>
        <v>60000</v>
      </c>
      <c r="AA23" s="48">
        <f>V23*15</f>
        <v>75000</v>
      </c>
    </row>
    <row r="24" spans="1:27" ht="15.75" customHeight="1" x14ac:dyDescent="0.2">
      <c r="A24" s="44"/>
      <c r="B24" s="62">
        <v>0.05</v>
      </c>
      <c r="C24" s="63">
        <v>30000</v>
      </c>
      <c r="D24" s="64">
        <f t="shared" si="27"/>
        <v>600000</v>
      </c>
      <c r="E24" s="44"/>
      <c r="F24" s="44" t="s">
        <v>360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8"/>
      <c r="V24" s="48"/>
      <c r="W24" s="48"/>
      <c r="X24" s="48"/>
      <c r="Y24" s="48"/>
      <c r="Z24" s="48"/>
      <c r="AA24" s="48"/>
    </row>
    <row r="25" spans="1:27" ht="15.75" customHeight="1" x14ac:dyDescent="0.2">
      <c r="A25" s="44"/>
      <c r="B25" s="62">
        <v>7.4999999999999997E-2</v>
      </c>
      <c r="C25" s="63">
        <v>50000</v>
      </c>
      <c r="D25" s="64">
        <f t="shared" si="27"/>
        <v>666666.66666666674</v>
      </c>
      <c r="E25" s="44"/>
      <c r="F25" s="44" t="s">
        <v>361</v>
      </c>
      <c r="G25" s="44" t="s">
        <v>362</v>
      </c>
      <c r="H25" s="44" t="s">
        <v>363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8" t="s">
        <v>364</v>
      </c>
      <c r="V25" s="48"/>
      <c r="W25" s="48"/>
      <c r="X25" s="48"/>
      <c r="Y25" s="48"/>
      <c r="Z25" s="48"/>
      <c r="AA25" s="48"/>
    </row>
    <row r="26" spans="1:27" ht="15.75" customHeight="1" x14ac:dyDescent="0.2">
      <c r="A26" s="44"/>
      <c r="B26" s="44"/>
      <c r="C26" s="44"/>
      <c r="D26" s="44"/>
      <c r="E26" s="44"/>
      <c r="F26" s="44" t="s">
        <v>365</v>
      </c>
      <c r="G26" s="44">
        <v>2</v>
      </c>
      <c r="H26" s="44" t="s">
        <v>366</v>
      </c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8" t="s">
        <v>367</v>
      </c>
      <c r="V26" s="48">
        <v>40000</v>
      </c>
      <c r="W26" s="48">
        <f>V26*3</f>
        <v>120000</v>
      </c>
      <c r="X26" s="48">
        <f>V26*6</f>
        <v>240000</v>
      </c>
      <c r="Y26" s="48">
        <f>V26*8</f>
        <v>320000</v>
      </c>
      <c r="Z26" s="48">
        <f t="shared" ref="Z26:Z27" si="32">V26*8</f>
        <v>320000</v>
      </c>
      <c r="AA26" s="48">
        <f t="shared" ref="AA26:AA27" si="33">V26*12</f>
        <v>480000</v>
      </c>
    </row>
    <row r="27" spans="1:27" ht="15.75" customHeight="1" x14ac:dyDescent="0.2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8" t="s">
        <v>368</v>
      </c>
      <c r="V27" s="48">
        <v>5000</v>
      </c>
      <c r="W27" s="48">
        <f>V27*1</f>
        <v>5000</v>
      </c>
      <c r="X27" s="48">
        <f>V27*2</f>
        <v>10000</v>
      </c>
      <c r="Y27" s="48">
        <f>V27*4</f>
        <v>20000</v>
      </c>
      <c r="Z27" s="48">
        <f t="shared" si="32"/>
        <v>40000</v>
      </c>
      <c r="AA27" s="48">
        <f t="shared" si="33"/>
        <v>60000</v>
      </c>
    </row>
    <row r="28" spans="1:27" ht="15.75" customHeight="1" x14ac:dyDescent="0.2">
      <c r="A28" s="44"/>
      <c r="B28" s="44"/>
      <c r="C28" s="44"/>
      <c r="D28" s="44"/>
      <c r="E28" s="44"/>
      <c r="F28" s="52"/>
      <c r="G28" s="51"/>
      <c r="H28" s="44"/>
      <c r="I28" s="51"/>
      <c r="J28" s="58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8"/>
      <c r="V28" s="48"/>
      <c r="W28" s="48"/>
      <c r="X28" s="48"/>
      <c r="Y28" s="48"/>
      <c r="Z28" s="48"/>
      <c r="AA28" s="48"/>
    </row>
    <row r="29" spans="1:27" ht="15.75" customHeight="1" x14ac:dyDescent="0.2">
      <c r="A29" s="44"/>
      <c r="B29" s="44"/>
      <c r="C29" s="44"/>
      <c r="D29" s="44"/>
      <c r="E29" s="44"/>
      <c r="F29" s="52"/>
      <c r="G29" s="51"/>
      <c r="H29" s="44"/>
      <c r="I29" s="51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8" t="s">
        <v>369</v>
      </c>
      <c r="V29" s="48"/>
      <c r="W29" s="48"/>
      <c r="X29" s="48"/>
      <c r="Y29" s="48"/>
      <c r="Z29" s="48"/>
      <c r="AA29" s="48"/>
    </row>
    <row r="30" spans="1:27" ht="15.75" customHeight="1" x14ac:dyDescent="0.2">
      <c r="A30" s="44"/>
      <c r="B30" s="44"/>
      <c r="C30" s="44"/>
      <c r="D30" s="44"/>
      <c r="E30" s="44"/>
      <c r="F30" s="52"/>
      <c r="G30" s="51"/>
      <c r="H30" s="44"/>
      <c r="I30" s="51"/>
      <c r="J30" s="44"/>
      <c r="K30" s="44"/>
      <c r="L30" s="44"/>
      <c r="M30" s="44"/>
      <c r="N30" s="44"/>
      <c r="O30" s="44"/>
      <c r="P30" s="52"/>
      <c r="Q30" s="52"/>
      <c r="R30" s="52"/>
      <c r="S30" s="52"/>
      <c r="T30" s="52"/>
      <c r="U30" s="48" t="s">
        <v>370</v>
      </c>
      <c r="V30" s="48">
        <v>5000</v>
      </c>
      <c r="W30" s="48">
        <f t="shared" ref="W30:X30" si="34">V30*1</f>
        <v>5000</v>
      </c>
      <c r="X30" s="48">
        <f t="shared" si="34"/>
        <v>5000</v>
      </c>
      <c r="Y30" s="48">
        <f t="shared" ref="Y30:Y31" si="35">V30*2</f>
        <v>10000</v>
      </c>
      <c r="Z30" s="48">
        <f>V30*3</f>
        <v>15000</v>
      </c>
      <c r="AA30" s="48">
        <f>V30*4</f>
        <v>20000</v>
      </c>
    </row>
    <row r="31" spans="1:27" ht="15.75" customHeight="1" x14ac:dyDescent="0.2">
      <c r="A31" s="44"/>
      <c r="B31" s="44"/>
      <c r="C31" s="44"/>
      <c r="D31" s="44"/>
      <c r="E31" s="44"/>
      <c r="F31" s="44"/>
      <c r="G31" s="44"/>
      <c r="H31" s="44"/>
      <c r="I31" s="51"/>
      <c r="J31" s="44"/>
      <c r="K31" s="44"/>
      <c r="L31" s="44"/>
      <c r="M31" s="44"/>
      <c r="N31" s="44"/>
      <c r="O31" s="44"/>
      <c r="P31" s="52"/>
      <c r="Q31" s="52"/>
      <c r="R31" s="52"/>
      <c r="S31" s="52"/>
      <c r="T31" s="52"/>
      <c r="U31" s="48" t="s">
        <v>371</v>
      </c>
      <c r="V31" s="48">
        <v>10000</v>
      </c>
      <c r="W31" s="48">
        <f t="shared" ref="W31:X31" si="36">V31*1</f>
        <v>10000</v>
      </c>
      <c r="X31" s="48">
        <f t="shared" si="36"/>
        <v>10000</v>
      </c>
      <c r="Y31" s="48">
        <f t="shared" si="35"/>
        <v>20000</v>
      </c>
      <c r="Z31" s="48">
        <f>W31*2</f>
        <v>20000</v>
      </c>
      <c r="AA31" s="48">
        <f>V31*2</f>
        <v>20000</v>
      </c>
    </row>
    <row r="32" spans="1:27" ht="15.75" customHeight="1" x14ac:dyDescent="0.2">
      <c r="A32" s="44"/>
      <c r="B32" s="44"/>
      <c r="C32" s="44"/>
      <c r="D32" s="44"/>
      <c r="E32" s="44"/>
      <c r="F32" s="66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8"/>
      <c r="V32" s="48"/>
      <c r="W32" s="48"/>
      <c r="X32" s="48"/>
      <c r="Y32" s="48"/>
      <c r="Z32" s="48"/>
      <c r="AA32" s="48"/>
    </row>
    <row r="33" spans="1:27" ht="15.75" customHeight="1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52"/>
      <c r="Q33" s="52"/>
      <c r="R33" s="52"/>
      <c r="S33" s="52"/>
      <c r="T33" s="52"/>
      <c r="U33" s="48" t="s">
        <v>372</v>
      </c>
      <c r="V33" s="48"/>
      <c r="W33" s="48"/>
      <c r="X33" s="48"/>
      <c r="Y33" s="48"/>
      <c r="Z33" s="48"/>
      <c r="AA33" s="48"/>
    </row>
    <row r="34" spans="1:27" ht="15.75" customHeight="1" x14ac:dyDescent="0.2">
      <c r="A34" s="72" t="s">
        <v>317</v>
      </c>
      <c r="B34" s="73"/>
      <c r="C34" s="74"/>
      <c r="D34" s="43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52"/>
      <c r="Q34" s="52"/>
      <c r="R34" s="52"/>
      <c r="S34" s="52"/>
      <c r="T34" s="52"/>
      <c r="U34" s="48" t="s">
        <v>373</v>
      </c>
      <c r="V34" s="48">
        <v>5000</v>
      </c>
      <c r="W34" s="48">
        <f>V34*12</f>
        <v>60000</v>
      </c>
      <c r="X34" s="48">
        <f>W34*1</f>
        <v>60000</v>
      </c>
      <c r="Y34" s="48">
        <f>V34*12*2</f>
        <v>120000</v>
      </c>
      <c r="Z34" s="48">
        <f>V34*12*4</f>
        <v>240000</v>
      </c>
      <c r="AA34" s="48">
        <f>V34*12*6</f>
        <v>360000</v>
      </c>
    </row>
    <row r="35" spans="1:27" ht="15.75" customHeight="1" x14ac:dyDescent="0.2">
      <c r="A35" s="47" t="s">
        <v>326</v>
      </c>
      <c r="B35" s="47" t="s">
        <v>327</v>
      </c>
      <c r="C35" s="43" t="s">
        <v>328</v>
      </c>
      <c r="D35" s="43" t="s">
        <v>329</v>
      </c>
      <c r="E35" s="43" t="s">
        <v>329</v>
      </c>
      <c r="F35" s="67" t="s">
        <v>374</v>
      </c>
      <c r="G35" s="67" t="s">
        <v>375</v>
      </c>
      <c r="H35" s="44"/>
      <c r="I35" s="44"/>
      <c r="J35" s="44"/>
      <c r="K35" s="44"/>
      <c r="L35" s="44"/>
      <c r="M35" s="44"/>
      <c r="N35" s="44"/>
      <c r="O35" s="44"/>
      <c r="P35" s="52"/>
      <c r="Q35" s="52"/>
      <c r="R35" s="52"/>
      <c r="S35" s="52"/>
      <c r="T35" s="52"/>
      <c r="U35" s="48" t="s">
        <v>376</v>
      </c>
      <c r="V35" s="48">
        <v>10000</v>
      </c>
      <c r="W35" s="48">
        <f t="shared" ref="W35:X35" si="37">V35*1</f>
        <v>10000</v>
      </c>
      <c r="X35" s="48">
        <f t="shared" si="37"/>
        <v>10000</v>
      </c>
      <c r="Y35" s="48">
        <f>V35*4</f>
        <v>40000</v>
      </c>
      <c r="Z35" s="48">
        <f>V35*8</f>
        <v>80000</v>
      </c>
      <c r="AA35" s="48">
        <f>V35*12*1</f>
        <v>120000</v>
      </c>
    </row>
    <row r="36" spans="1:27" ht="15.75" customHeight="1" x14ac:dyDescent="0.2">
      <c r="A36" s="49">
        <f t="shared" ref="A36:A40" si="38">7000*C36</f>
        <v>700000</v>
      </c>
      <c r="B36" s="49">
        <f t="shared" ref="B36:B40" si="39">12000*C36</f>
        <v>1200000</v>
      </c>
      <c r="C36" s="50">
        <v>100</v>
      </c>
      <c r="D36" s="50">
        <v>1</v>
      </c>
      <c r="E36" s="68">
        <v>1284000</v>
      </c>
      <c r="F36" s="68">
        <f t="shared" ref="F36:F40" si="40">A36-E36</f>
        <v>-584000</v>
      </c>
      <c r="G36" s="68">
        <f t="shared" ref="G36:G40" si="41">B36-E36</f>
        <v>-84000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8"/>
      <c r="V36" s="48"/>
      <c r="W36" s="48"/>
      <c r="X36" s="48"/>
      <c r="Y36" s="48"/>
      <c r="Z36" s="48"/>
      <c r="AA36" s="48"/>
    </row>
    <row r="37" spans="1:27" ht="15.75" customHeight="1" x14ac:dyDescent="0.2">
      <c r="A37" s="49">
        <f t="shared" si="38"/>
        <v>3500000</v>
      </c>
      <c r="B37" s="49">
        <f t="shared" si="39"/>
        <v>6000000</v>
      </c>
      <c r="C37" s="50">
        <v>500</v>
      </c>
      <c r="D37" s="50">
        <v>2</v>
      </c>
      <c r="E37" s="68">
        <v>3550000</v>
      </c>
      <c r="F37" s="68">
        <f t="shared" si="40"/>
        <v>-50000</v>
      </c>
      <c r="G37" s="68">
        <f t="shared" si="41"/>
        <v>2450000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8" t="s">
        <v>377</v>
      </c>
      <c r="V37" s="48"/>
      <c r="W37" s="48"/>
      <c r="X37" s="48"/>
      <c r="Y37" s="48"/>
      <c r="Z37" s="48"/>
      <c r="AA37" s="48"/>
    </row>
    <row r="38" spans="1:27" ht="15.75" customHeight="1" x14ac:dyDescent="0.2">
      <c r="A38" s="49">
        <f t="shared" si="38"/>
        <v>7000000</v>
      </c>
      <c r="B38" s="49">
        <f t="shared" si="39"/>
        <v>12000000</v>
      </c>
      <c r="C38" s="50">
        <v>1000</v>
      </c>
      <c r="D38" s="50">
        <v>3</v>
      </c>
      <c r="E38" s="68">
        <v>7340000</v>
      </c>
      <c r="F38" s="68">
        <f t="shared" si="40"/>
        <v>-340000</v>
      </c>
      <c r="G38" s="68">
        <f t="shared" si="41"/>
        <v>4660000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8" t="s">
        <v>378</v>
      </c>
      <c r="V38" s="48">
        <v>20000</v>
      </c>
      <c r="W38" s="48">
        <f t="shared" ref="W38:W39" si="42">V38*1</f>
        <v>20000</v>
      </c>
      <c r="X38" s="48">
        <f t="shared" ref="X38:X39" si="43">V38*3</f>
        <v>60000</v>
      </c>
      <c r="Y38" s="48">
        <f t="shared" ref="Y38:Y39" si="44">V38*4</f>
        <v>80000</v>
      </c>
      <c r="Z38" s="48">
        <f>V38*6</f>
        <v>120000</v>
      </c>
      <c r="AA38" s="48">
        <f>V38*12</f>
        <v>240000</v>
      </c>
    </row>
    <row r="39" spans="1:27" ht="15.75" customHeight="1" x14ac:dyDescent="0.2">
      <c r="A39" s="49">
        <f t="shared" si="38"/>
        <v>35000000</v>
      </c>
      <c r="B39" s="49">
        <f t="shared" si="39"/>
        <v>60000000</v>
      </c>
      <c r="C39" s="50">
        <v>5000</v>
      </c>
      <c r="D39" s="50">
        <v>4</v>
      </c>
      <c r="E39" s="68">
        <v>21535000</v>
      </c>
      <c r="F39" s="68">
        <f t="shared" si="40"/>
        <v>13465000</v>
      </c>
      <c r="G39" s="68">
        <f t="shared" si="41"/>
        <v>38465000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8" t="s">
        <v>379</v>
      </c>
      <c r="V39" s="48">
        <v>100000</v>
      </c>
      <c r="W39" s="48">
        <f t="shared" si="42"/>
        <v>100000</v>
      </c>
      <c r="X39" s="48">
        <f t="shared" si="43"/>
        <v>300000</v>
      </c>
      <c r="Y39" s="48">
        <f t="shared" si="44"/>
        <v>400000</v>
      </c>
      <c r="Z39" s="48">
        <v>0</v>
      </c>
      <c r="AA39" s="48">
        <v>0</v>
      </c>
    </row>
    <row r="40" spans="1:27" ht="15.75" customHeight="1" x14ac:dyDescent="0.2">
      <c r="A40" s="49">
        <f t="shared" si="38"/>
        <v>105000000</v>
      </c>
      <c r="B40" s="49">
        <f t="shared" si="39"/>
        <v>180000000</v>
      </c>
      <c r="C40" s="50">
        <v>15000</v>
      </c>
      <c r="D40" s="50">
        <v>5</v>
      </c>
      <c r="E40" s="68">
        <v>57325000</v>
      </c>
      <c r="F40" s="68">
        <f t="shared" si="40"/>
        <v>47675000</v>
      </c>
      <c r="G40" s="68">
        <f t="shared" si="41"/>
        <v>122675000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8"/>
      <c r="V40" s="48"/>
      <c r="W40" s="48"/>
      <c r="X40" s="48"/>
      <c r="Y40" s="48"/>
      <c r="Z40" s="48"/>
      <c r="AA40" s="48"/>
    </row>
    <row r="41" spans="1:27" ht="15.75" customHeight="1" x14ac:dyDescent="0.2">
      <c r="A41" s="68">
        <f t="shared" ref="A41:C41" si="45">A40*5</f>
        <v>525000000</v>
      </c>
      <c r="B41" s="68">
        <f t="shared" si="45"/>
        <v>900000000</v>
      </c>
      <c r="C41" s="50">
        <f t="shared" si="45"/>
        <v>75000</v>
      </c>
      <c r="D41" s="69"/>
      <c r="E41" s="68">
        <f t="shared" ref="E41:G41" si="46">E40*5</f>
        <v>286625000</v>
      </c>
      <c r="F41" s="68">
        <f t="shared" si="46"/>
        <v>238375000</v>
      </c>
      <c r="G41" s="68">
        <f t="shared" si="46"/>
        <v>613375000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8" t="s">
        <v>380</v>
      </c>
      <c r="V41" s="48"/>
      <c r="W41" s="48"/>
      <c r="X41" s="48"/>
      <c r="Y41" s="48"/>
      <c r="Z41" s="48"/>
      <c r="AA41" s="48"/>
    </row>
    <row r="42" spans="1:27" ht="15.75" customHeight="1" x14ac:dyDescent="0.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8" t="s">
        <v>381</v>
      </c>
      <c r="V42" s="48">
        <v>0</v>
      </c>
      <c r="W42" s="48">
        <v>64000</v>
      </c>
      <c r="X42" s="48">
        <v>320000</v>
      </c>
      <c r="Y42" s="48">
        <v>640000</v>
      </c>
      <c r="Z42" s="48">
        <v>3200000</v>
      </c>
      <c r="AA42" s="48">
        <v>9600000</v>
      </c>
    </row>
    <row r="43" spans="1:27" ht="15.75" customHeight="1" x14ac:dyDescent="0.2">
      <c r="A43" s="44"/>
      <c r="B43" s="44"/>
      <c r="C43" s="70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8" t="s">
        <v>382</v>
      </c>
      <c r="V43" s="48">
        <v>0</v>
      </c>
      <c r="W43" s="48">
        <v>200000</v>
      </c>
      <c r="X43" s="48">
        <v>1000000</v>
      </c>
      <c r="Y43" s="48">
        <v>2000000</v>
      </c>
      <c r="Z43" s="48">
        <v>10000000</v>
      </c>
      <c r="AA43" s="48">
        <v>30000000</v>
      </c>
    </row>
    <row r="44" spans="1:27" ht="15.75" customHeight="1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8" t="s">
        <v>383</v>
      </c>
      <c r="V44" s="48">
        <v>0</v>
      </c>
      <c r="W44" s="48">
        <v>80000</v>
      </c>
      <c r="X44" s="48">
        <v>400000</v>
      </c>
      <c r="Y44" s="48">
        <v>800000</v>
      </c>
      <c r="Z44" s="48">
        <v>4000000</v>
      </c>
      <c r="AA44" s="48">
        <v>12000000</v>
      </c>
    </row>
    <row r="45" spans="1:27" ht="15.75" customHeight="1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8"/>
      <c r="V45" s="48"/>
      <c r="W45" s="45"/>
      <c r="X45" s="45"/>
      <c r="Y45" s="45"/>
      <c r="Z45" s="45"/>
      <c r="AA45" s="45"/>
    </row>
    <row r="46" spans="1:27" ht="15.75" customHeight="1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8"/>
      <c r="V46" s="48"/>
      <c r="W46" s="48"/>
      <c r="X46" s="48"/>
      <c r="Y46" s="48"/>
      <c r="Z46" s="48"/>
      <c r="AA46" s="48"/>
    </row>
    <row r="47" spans="1:27" ht="15.75" customHeight="1" x14ac:dyDescent="0.2">
      <c r="A47" s="43" t="s">
        <v>67</v>
      </c>
      <c r="B47" s="43" t="s">
        <v>384</v>
      </c>
      <c r="C47" s="43" t="s">
        <v>385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8"/>
      <c r="V47" s="48"/>
      <c r="W47" s="48"/>
      <c r="X47" s="48"/>
      <c r="Y47" s="48"/>
      <c r="Z47" s="48"/>
      <c r="AA47" s="48"/>
    </row>
    <row r="48" spans="1:27" ht="15.75" customHeight="1" x14ac:dyDescent="0.2">
      <c r="A48" s="67" t="s">
        <v>85</v>
      </c>
      <c r="B48" s="67" t="s">
        <v>386</v>
      </c>
      <c r="C48" s="67" t="s">
        <v>387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5" t="s">
        <v>388</v>
      </c>
      <c r="V48" s="48"/>
      <c r="W48" s="48">
        <f t="shared" ref="W48:AA48" si="47">SUM(W2:W46)</f>
        <v>1284000</v>
      </c>
      <c r="X48" s="48">
        <f t="shared" si="47"/>
        <v>3550000</v>
      </c>
      <c r="Y48" s="48">
        <f t="shared" si="47"/>
        <v>7340000</v>
      </c>
      <c r="Z48" s="48">
        <f t="shared" si="47"/>
        <v>21535000</v>
      </c>
      <c r="AA48" s="48">
        <f t="shared" si="47"/>
        <v>57325000</v>
      </c>
    </row>
    <row r="49" spans="1:27" ht="15.75" customHeight="1" x14ac:dyDescent="0.2">
      <c r="A49" s="67" t="s">
        <v>91</v>
      </c>
      <c r="B49" s="67" t="s">
        <v>389</v>
      </c>
      <c r="C49" s="67" t="s">
        <v>390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8"/>
      <c r="V49" s="48"/>
      <c r="W49" s="48" t="s">
        <v>391</v>
      </c>
      <c r="X49" s="48" t="s">
        <v>392</v>
      </c>
      <c r="Y49" s="48" t="s">
        <v>393</v>
      </c>
      <c r="Z49" s="48" t="s">
        <v>394</v>
      </c>
      <c r="AA49" s="48" t="s">
        <v>395</v>
      </c>
    </row>
    <row r="50" spans="1:27" ht="15.75" customHeight="1" x14ac:dyDescent="0.2">
      <c r="A50" s="67" t="s">
        <v>396</v>
      </c>
      <c r="B50" s="67" t="s">
        <v>397</v>
      </c>
      <c r="C50" s="67" t="s">
        <v>398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spans="1:27" ht="15.75" customHeight="1" x14ac:dyDescent="0.2">
      <c r="A51" s="67" t="s">
        <v>399</v>
      </c>
      <c r="B51" s="67" t="s">
        <v>400</v>
      </c>
      <c r="C51" s="67" t="s">
        <v>401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spans="1:27" ht="15.75" customHeight="1" x14ac:dyDescent="0.2">
      <c r="A52" s="67" t="s">
        <v>402</v>
      </c>
      <c r="B52" s="67" t="s">
        <v>400</v>
      </c>
      <c r="C52" s="67" t="s">
        <v>403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68" t="s">
        <v>284</v>
      </c>
      <c r="V52" s="68" t="s">
        <v>119</v>
      </c>
      <c r="W52" s="68" t="s">
        <v>123</v>
      </c>
      <c r="X52" s="68" t="s">
        <v>127</v>
      </c>
      <c r="Y52" s="68" t="s">
        <v>131</v>
      </c>
      <c r="Z52" s="68" t="s">
        <v>135</v>
      </c>
      <c r="AA52" s="51"/>
    </row>
    <row r="53" spans="1:27" ht="15.75" customHeight="1" x14ac:dyDescent="0.2">
      <c r="A53" s="67" t="s">
        <v>404</v>
      </c>
      <c r="B53" s="67" t="s">
        <v>405</v>
      </c>
      <c r="C53" s="67" t="s">
        <v>406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71" t="s">
        <v>141</v>
      </c>
      <c r="V53" s="71">
        <f t="shared" ref="V53:Z53" si="48">SUM(W3:W6)</f>
        <v>70000</v>
      </c>
      <c r="W53" s="71">
        <f t="shared" si="48"/>
        <v>140000</v>
      </c>
      <c r="X53" s="71">
        <f t="shared" si="48"/>
        <v>280000</v>
      </c>
      <c r="Y53" s="71">
        <f t="shared" si="48"/>
        <v>340000</v>
      </c>
      <c r="Z53" s="71">
        <f t="shared" si="48"/>
        <v>460000</v>
      </c>
      <c r="AA53" s="44"/>
    </row>
    <row r="54" spans="1:27" ht="15.75" customHeight="1" x14ac:dyDescent="0.2">
      <c r="A54" s="67" t="s">
        <v>407</v>
      </c>
      <c r="B54" s="67" t="s">
        <v>408</v>
      </c>
      <c r="C54" s="67" t="s">
        <v>409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71" t="s">
        <v>410</v>
      </c>
      <c r="V54" s="71">
        <f t="shared" ref="V54:Z54" si="49">SUM(W9:W12)</f>
        <v>400000</v>
      </c>
      <c r="W54" s="71">
        <f t="shared" si="49"/>
        <v>700000</v>
      </c>
      <c r="X54" s="71">
        <f t="shared" si="49"/>
        <v>1520000</v>
      </c>
      <c r="Y54" s="71">
        <f t="shared" si="49"/>
        <v>1720000</v>
      </c>
      <c r="Z54" s="71">
        <f t="shared" si="49"/>
        <v>2200000</v>
      </c>
      <c r="AA54" s="44"/>
    </row>
    <row r="55" spans="1:27" ht="15.75" customHeight="1" x14ac:dyDescent="0.2">
      <c r="A55" s="67" t="s">
        <v>411</v>
      </c>
      <c r="B55" s="67" t="s">
        <v>400</v>
      </c>
      <c r="C55" s="67" t="s">
        <v>401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71" t="s">
        <v>144</v>
      </c>
      <c r="V55" s="71">
        <f t="shared" ref="V55:Z55" si="50">SUM(W15:W18)</f>
        <v>130000</v>
      </c>
      <c r="W55" s="71">
        <f t="shared" si="50"/>
        <v>260000</v>
      </c>
      <c r="X55" s="71">
        <f t="shared" si="50"/>
        <v>1010000</v>
      </c>
      <c r="Y55" s="71">
        <f t="shared" si="50"/>
        <v>1320000</v>
      </c>
      <c r="Z55" s="71">
        <f t="shared" si="50"/>
        <v>1590000</v>
      </c>
      <c r="AA55" s="44"/>
    </row>
    <row r="56" spans="1:27" ht="15.75" customHeight="1" x14ac:dyDescent="0.2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71" t="s">
        <v>142</v>
      </c>
      <c r="V56" s="71">
        <f t="shared" ref="V56:Z56" si="51">SUM(W21:W23)</f>
        <v>10000</v>
      </c>
      <c r="W56" s="71">
        <f t="shared" si="51"/>
        <v>35000</v>
      </c>
      <c r="X56" s="71">
        <f t="shared" si="51"/>
        <v>80000</v>
      </c>
      <c r="Y56" s="71">
        <f t="shared" si="51"/>
        <v>120000</v>
      </c>
      <c r="Z56" s="71">
        <f t="shared" si="51"/>
        <v>175000</v>
      </c>
      <c r="AA56" s="44"/>
    </row>
    <row r="57" spans="1:27" ht="15.75" customHeight="1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52"/>
      <c r="M57" s="44"/>
      <c r="N57" s="44"/>
      <c r="O57" s="44"/>
      <c r="P57" s="44"/>
      <c r="Q57" s="44"/>
      <c r="R57" s="44"/>
      <c r="S57" s="44"/>
      <c r="T57" s="44"/>
      <c r="U57" s="71" t="s">
        <v>412</v>
      </c>
      <c r="V57" s="71">
        <f t="shared" ref="V57:Z57" si="52">SUM(W26:W27)</f>
        <v>125000</v>
      </c>
      <c r="W57" s="71">
        <f t="shared" si="52"/>
        <v>250000</v>
      </c>
      <c r="X57" s="71">
        <f t="shared" si="52"/>
        <v>340000</v>
      </c>
      <c r="Y57" s="71">
        <f t="shared" si="52"/>
        <v>360000</v>
      </c>
      <c r="Z57" s="71">
        <f t="shared" si="52"/>
        <v>540000</v>
      </c>
      <c r="AA57" s="44"/>
    </row>
    <row r="58" spans="1:27" ht="15.75" customHeight="1" x14ac:dyDescent="0.2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52"/>
      <c r="M58" s="44"/>
      <c r="N58" s="44"/>
      <c r="O58" s="44"/>
      <c r="P58" s="44"/>
      <c r="Q58" s="44"/>
      <c r="R58" s="44"/>
      <c r="S58" s="44"/>
      <c r="T58" s="44"/>
      <c r="U58" s="71" t="s">
        <v>146</v>
      </c>
      <c r="V58" s="71">
        <f t="shared" ref="V58:Z58" si="53">SUM(W30:W31)</f>
        <v>15000</v>
      </c>
      <c r="W58" s="71">
        <f t="shared" si="53"/>
        <v>15000</v>
      </c>
      <c r="X58" s="71">
        <f t="shared" si="53"/>
        <v>30000</v>
      </c>
      <c r="Y58" s="71">
        <f t="shared" si="53"/>
        <v>35000</v>
      </c>
      <c r="Z58" s="71">
        <f t="shared" si="53"/>
        <v>40000</v>
      </c>
      <c r="AA58" s="44"/>
    </row>
    <row r="59" spans="1:27" ht="15.75" customHeight="1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52"/>
      <c r="M59" s="44"/>
      <c r="N59" s="44"/>
      <c r="O59" s="44"/>
      <c r="P59" s="44"/>
      <c r="Q59" s="44"/>
      <c r="R59" s="44"/>
      <c r="S59" s="44"/>
      <c r="T59" s="44"/>
      <c r="U59" s="71" t="s">
        <v>147</v>
      </c>
      <c r="V59" s="71">
        <f t="shared" ref="V59:Z59" si="54">SUM(W34:W35)</f>
        <v>70000</v>
      </c>
      <c r="W59" s="71">
        <f t="shared" si="54"/>
        <v>70000</v>
      </c>
      <c r="X59" s="71">
        <f t="shared" si="54"/>
        <v>160000</v>
      </c>
      <c r="Y59" s="71">
        <f t="shared" si="54"/>
        <v>320000</v>
      </c>
      <c r="Z59" s="71">
        <f t="shared" si="54"/>
        <v>480000</v>
      </c>
      <c r="AA59" s="44"/>
    </row>
    <row r="60" spans="1:27" ht="15.75" customHeight="1" x14ac:dyDescent="0.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52"/>
      <c r="M60" s="44"/>
      <c r="N60" s="44"/>
      <c r="O60" s="44"/>
      <c r="P60" s="44"/>
      <c r="Q60" s="44"/>
      <c r="R60" s="44"/>
      <c r="S60" s="44"/>
      <c r="T60" s="44"/>
      <c r="U60" s="71" t="s">
        <v>413</v>
      </c>
      <c r="V60" s="71">
        <f t="shared" ref="V60:Z60" si="55">SUM(W38:W39)</f>
        <v>120000</v>
      </c>
      <c r="W60" s="71">
        <f t="shared" si="55"/>
        <v>360000</v>
      </c>
      <c r="X60" s="71">
        <f t="shared" si="55"/>
        <v>480000</v>
      </c>
      <c r="Y60" s="71">
        <f t="shared" si="55"/>
        <v>120000</v>
      </c>
      <c r="Z60" s="71">
        <f t="shared" si="55"/>
        <v>240000</v>
      </c>
      <c r="AA60" s="44"/>
    </row>
    <row r="61" spans="1:27" ht="15.75" customHeight="1" x14ac:dyDescent="0.2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71" t="s">
        <v>414</v>
      </c>
      <c r="V61" s="71">
        <f t="shared" ref="V61:Z61" si="56">SUM(W42:W44)</f>
        <v>344000</v>
      </c>
      <c r="W61" s="71">
        <f t="shared" si="56"/>
        <v>1720000</v>
      </c>
      <c r="X61" s="71">
        <f t="shared" si="56"/>
        <v>3440000</v>
      </c>
      <c r="Y61" s="71">
        <f t="shared" si="56"/>
        <v>17200000</v>
      </c>
      <c r="Z61" s="71">
        <f t="shared" si="56"/>
        <v>51600000</v>
      </c>
      <c r="AA61" s="44"/>
    </row>
    <row r="62" spans="1:27" ht="15.75" customHeight="1" x14ac:dyDescent="0.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71" t="s">
        <v>415</v>
      </c>
      <c r="V62" s="71">
        <f t="shared" ref="V62:Z62" si="57">SUM(V53:V61)</f>
        <v>1284000</v>
      </c>
      <c r="W62" s="71">
        <f t="shared" si="57"/>
        <v>3550000</v>
      </c>
      <c r="X62" s="71">
        <f t="shared" si="57"/>
        <v>7340000</v>
      </c>
      <c r="Y62" s="71">
        <f t="shared" si="57"/>
        <v>21535000</v>
      </c>
      <c r="Z62" s="71">
        <f t="shared" si="57"/>
        <v>57325000</v>
      </c>
      <c r="AA62" s="44"/>
    </row>
    <row r="63" spans="1:27" ht="15.75" customHeight="1" x14ac:dyDescent="0.2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51"/>
      <c r="V63" s="51"/>
      <c r="W63" s="51"/>
      <c r="X63" s="51"/>
      <c r="Y63" s="51"/>
      <c r="Z63" s="51"/>
      <c r="AA63" s="44"/>
    </row>
    <row r="64" spans="1:27" ht="15.75" customHeight="1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51"/>
      <c r="V64" s="51"/>
      <c r="W64" s="51"/>
      <c r="X64" s="51"/>
      <c r="Y64" s="51"/>
      <c r="Z64" s="51"/>
      <c r="AA64" s="44"/>
    </row>
    <row r="65" spans="1:27" ht="15.75" customHeight="1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51"/>
      <c r="V65" s="51"/>
      <c r="W65" s="51"/>
      <c r="X65" s="51"/>
      <c r="Y65" s="51"/>
      <c r="Z65" s="51"/>
      <c r="AA65" s="44"/>
    </row>
    <row r="66" spans="1:27" ht="15.75" customHeight="1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51"/>
      <c r="V66" s="51"/>
      <c r="W66" s="51"/>
      <c r="X66" s="51"/>
      <c r="Y66" s="51"/>
      <c r="Z66" s="51"/>
      <c r="AA66" s="44"/>
    </row>
    <row r="67" spans="1:27" ht="15.75" customHeight="1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51"/>
      <c r="V67" s="51"/>
      <c r="W67" s="51"/>
      <c r="X67" s="51"/>
      <c r="Y67" s="51"/>
      <c r="Z67" s="51"/>
      <c r="AA67" s="44"/>
    </row>
    <row r="68" spans="1:27" ht="15.75" customHeight="1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51"/>
      <c r="V68" s="51"/>
      <c r="W68" s="51"/>
      <c r="X68" s="51"/>
      <c r="Y68" s="51"/>
      <c r="Z68" s="51"/>
      <c r="AA68" s="44"/>
    </row>
    <row r="69" spans="1:27" ht="15.75" customHeight="1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51"/>
      <c r="V69" s="51"/>
      <c r="W69" s="51"/>
      <c r="X69" s="51"/>
      <c r="Y69" s="51"/>
      <c r="Z69" s="51"/>
      <c r="AA69" s="44"/>
    </row>
    <row r="70" spans="1:27" ht="15.75" customHeight="1" x14ac:dyDescent="0.2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51"/>
      <c r="V70" s="51"/>
      <c r="W70" s="51"/>
      <c r="X70" s="51"/>
      <c r="Y70" s="51"/>
      <c r="Z70" s="51"/>
      <c r="AA70" s="44"/>
    </row>
    <row r="71" spans="1:27" ht="15.75" customHeight="1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51"/>
      <c r="V71" s="51"/>
      <c r="W71" s="51"/>
      <c r="X71" s="51"/>
      <c r="Y71" s="51"/>
      <c r="Z71" s="51"/>
      <c r="AA71" s="44"/>
    </row>
    <row r="72" spans="1:27" ht="15.75" customHeight="1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51"/>
      <c r="V72" s="51"/>
      <c r="W72" s="51"/>
      <c r="X72" s="51"/>
      <c r="Y72" s="51"/>
      <c r="Z72" s="51"/>
      <c r="AA72" s="44"/>
    </row>
    <row r="73" spans="1:27" ht="15.75" customHeight="1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51"/>
      <c r="V73" s="51"/>
      <c r="W73" s="51"/>
      <c r="X73" s="51"/>
      <c r="Y73" s="51"/>
      <c r="Z73" s="51"/>
      <c r="AA73" s="44"/>
    </row>
    <row r="74" spans="1:27" ht="15.75" customHeight="1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51"/>
      <c r="V74" s="51"/>
      <c r="W74" s="51"/>
      <c r="X74" s="51"/>
      <c r="Y74" s="51"/>
      <c r="Z74" s="51"/>
      <c r="AA74" s="44"/>
    </row>
    <row r="75" spans="1:27" ht="15.75" customHeight="1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51"/>
      <c r="V75" s="51"/>
      <c r="W75" s="51"/>
      <c r="X75" s="51"/>
      <c r="Y75" s="51"/>
      <c r="Z75" s="51"/>
      <c r="AA75" s="44"/>
    </row>
    <row r="76" spans="1:27" ht="15.75" customHeight="1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51"/>
      <c r="V76" s="51"/>
      <c r="W76" s="51"/>
      <c r="X76" s="51"/>
      <c r="Y76" s="51"/>
      <c r="Z76" s="51"/>
      <c r="AA76" s="44"/>
    </row>
    <row r="77" spans="1:27" ht="15.75" customHeight="1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51"/>
      <c r="V77" s="51"/>
      <c r="W77" s="51"/>
      <c r="X77" s="51"/>
      <c r="Y77" s="51"/>
      <c r="Z77" s="51"/>
      <c r="AA77" s="44"/>
    </row>
    <row r="78" spans="1:27" ht="15.75" customHeight="1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51"/>
      <c r="V78" s="51"/>
      <c r="W78" s="51"/>
      <c r="X78" s="51"/>
      <c r="Y78" s="51"/>
      <c r="Z78" s="51"/>
      <c r="AA78" s="44"/>
    </row>
    <row r="79" spans="1:27" ht="15.75" customHeight="1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51"/>
      <c r="V79" s="51"/>
      <c r="W79" s="51"/>
      <c r="X79" s="51"/>
      <c r="Y79" s="51"/>
      <c r="Z79" s="51"/>
      <c r="AA79" s="44"/>
    </row>
    <row r="80" spans="1:27" ht="15.75" customHeight="1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51"/>
      <c r="V80" s="51"/>
      <c r="W80" s="51"/>
      <c r="X80" s="51"/>
      <c r="Y80" s="51"/>
      <c r="Z80" s="51"/>
      <c r="AA80" s="44"/>
    </row>
    <row r="81" spans="1:27" ht="15.75" customHeight="1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51"/>
      <c r="V81" s="51"/>
      <c r="W81" s="51"/>
      <c r="X81" s="51"/>
      <c r="Y81" s="51"/>
      <c r="Z81" s="51"/>
      <c r="AA81" s="44"/>
    </row>
    <row r="82" spans="1:27" ht="15.75" customHeight="1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51"/>
      <c r="V82" s="51"/>
      <c r="W82" s="51"/>
      <c r="X82" s="51"/>
      <c r="Y82" s="51"/>
      <c r="Z82" s="51"/>
      <c r="AA82" s="44"/>
    </row>
    <row r="83" spans="1:27" ht="15.75" customHeight="1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51"/>
      <c r="V83" s="51"/>
      <c r="W83" s="51"/>
      <c r="X83" s="51"/>
      <c r="Y83" s="51"/>
      <c r="Z83" s="51"/>
      <c r="AA83" s="44"/>
    </row>
    <row r="84" spans="1:27" ht="15.75" customHeight="1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51"/>
      <c r="V84" s="51"/>
      <c r="W84" s="51"/>
      <c r="X84" s="51"/>
      <c r="Y84" s="51"/>
      <c r="Z84" s="51"/>
      <c r="AA84" s="44"/>
    </row>
    <row r="85" spans="1:27" ht="15.75" customHeight="1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51"/>
      <c r="V85" s="51"/>
      <c r="W85" s="51"/>
      <c r="X85" s="51"/>
      <c r="Y85" s="51"/>
      <c r="Z85" s="51"/>
      <c r="AA85" s="44"/>
    </row>
    <row r="86" spans="1:27" ht="15.75" customHeight="1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51"/>
      <c r="V86" s="51"/>
      <c r="W86" s="51"/>
      <c r="X86" s="51"/>
      <c r="Y86" s="51"/>
      <c r="Z86" s="51"/>
      <c r="AA86" s="44"/>
    </row>
    <row r="87" spans="1:27" ht="15.75" customHeight="1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51"/>
      <c r="V87" s="51"/>
      <c r="W87" s="51"/>
      <c r="X87" s="51"/>
      <c r="Y87" s="51"/>
      <c r="Z87" s="51"/>
      <c r="AA87" s="44"/>
    </row>
    <row r="88" spans="1:27" ht="15.75" customHeight="1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51"/>
      <c r="V88" s="51"/>
      <c r="W88" s="51"/>
      <c r="X88" s="51"/>
      <c r="Y88" s="51"/>
      <c r="Z88" s="51"/>
      <c r="AA88" s="44"/>
    </row>
    <row r="89" spans="1:27" ht="15.75" customHeight="1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51"/>
      <c r="V89" s="51"/>
      <c r="W89" s="51"/>
      <c r="X89" s="51"/>
      <c r="Y89" s="51"/>
      <c r="Z89" s="51"/>
      <c r="AA89" s="44"/>
    </row>
    <row r="90" spans="1:27" ht="15.75" customHeight="1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51"/>
      <c r="V90" s="51"/>
      <c r="W90" s="51"/>
      <c r="X90" s="51"/>
      <c r="Y90" s="51"/>
      <c r="Z90" s="51"/>
      <c r="AA90" s="44"/>
    </row>
    <row r="91" spans="1:27" ht="15.75" customHeight="1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51"/>
      <c r="V91" s="51"/>
      <c r="W91" s="51"/>
      <c r="X91" s="51"/>
      <c r="Y91" s="51"/>
      <c r="Z91" s="51"/>
      <c r="AA91" s="44"/>
    </row>
    <row r="92" spans="1:27" ht="15.75" customHeight="1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51"/>
      <c r="V92" s="51"/>
      <c r="W92" s="51"/>
      <c r="X92" s="51"/>
      <c r="Y92" s="51"/>
      <c r="Z92" s="51"/>
      <c r="AA92" s="44"/>
    </row>
    <row r="93" spans="1:27" ht="15.75" customHeight="1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51"/>
      <c r="V93" s="51"/>
      <c r="W93" s="51"/>
      <c r="X93" s="51"/>
      <c r="Y93" s="51"/>
      <c r="Z93" s="51"/>
      <c r="AA93" s="44"/>
    </row>
    <row r="94" spans="1:27" ht="15.75" customHeight="1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51"/>
      <c r="V94" s="51"/>
      <c r="W94" s="51"/>
      <c r="X94" s="51"/>
      <c r="Y94" s="51"/>
      <c r="Z94" s="51"/>
      <c r="AA94" s="44"/>
    </row>
    <row r="95" spans="1:27" ht="15.75" customHeight="1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51"/>
      <c r="V95" s="51"/>
      <c r="W95" s="51"/>
      <c r="X95" s="51"/>
      <c r="Y95" s="51"/>
      <c r="Z95" s="51"/>
      <c r="AA95" s="44"/>
    </row>
    <row r="96" spans="1:27" ht="15.75" customHeight="1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51"/>
      <c r="V96" s="51"/>
      <c r="W96" s="51"/>
      <c r="X96" s="51"/>
      <c r="Y96" s="51"/>
      <c r="Z96" s="51"/>
      <c r="AA96" s="44"/>
    </row>
    <row r="97" spans="1:27" ht="15.75" customHeight="1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51"/>
      <c r="V97" s="51"/>
      <c r="W97" s="51"/>
      <c r="X97" s="51"/>
      <c r="Y97" s="51"/>
      <c r="Z97" s="51"/>
      <c r="AA97" s="44"/>
    </row>
    <row r="98" spans="1:27" ht="15.75" customHeight="1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51"/>
      <c r="V98" s="51"/>
      <c r="W98" s="51"/>
      <c r="X98" s="51"/>
      <c r="Y98" s="51"/>
      <c r="Z98" s="51"/>
      <c r="AA98" s="44"/>
    </row>
    <row r="99" spans="1:27" ht="15.75" customHeight="1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51" t="s">
        <v>388</v>
      </c>
      <c r="V99" s="51">
        <v>1284000</v>
      </c>
      <c r="W99" s="51">
        <v>3550000</v>
      </c>
      <c r="X99" s="51">
        <v>7340000</v>
      </c>
      <c r="Y99" s="51">
        <v>21535000</v>
      </c>
      <c r="Z99" s="51">
        <v>57325000</v>
      </c>
      <c r="AA99" s="44"/>
    </row>
    <row r="100" spans="1:27" ht="15.75" customHeight="1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spans="1:27" ht="15.75" customHeight="1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spans="1:27" ht="15.75" customHeight="1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spans="1:27" ht="15.75" customHeight="1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spans="1:27" ht="15.75" customHeight="1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spans="1:27" ht="15.75" customHeight="1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spans="1:27" ht="15.75" customHeight="1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spans="1:27" ht="15.75" customHeight="1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spans="1:27" ht="15.75" customHeight="1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spans="1:27" ht="15.75" customHeight="1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spans="1:27" ht="15.75" customHeight="1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spans="1:27" ht="15.75" customHeight="1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spans="1:27" ht="15.75" customHeight="1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spans="1:27" ht="15.75" customHeight="1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spans="1:27" ht="15.75" customHeight="1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spans="1:27" ht="15.75" customHeight="1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spans="1:27" ht="15.75" customHeight="1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spans="1:27" ht="15.75" customHeight="1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spans="1:27" ht="15.75" customHeight="1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spans="1:27" ht="15.75" customHeight="1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spans="1:27" ht="15.75" customHeight="1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spans="1:27" ht="15.75" customHeight="1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spans="1:27" ht="15.75" customHeight="1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spans="1:27" ht="15.75" customHeight="1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spans="1:27" ht="15.75" customHeight="1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spans="1:27" ht="15.75" customHeight="1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spans="1:27" ht="15.75" customHeight="1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spans="1:27" ht="15.75" customHeight="1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spans="1:27" ht="15.75" customHeight="1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spans="1:27" ht="15.75" customHeight="1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spans="1:27" ht="15.75" customHeight="1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spans="1:27" ht="15.75" customHeight="1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spans="1:27" ht="15.75" customHeight="1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spans="1:27" ht="15.75" customHeight="1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spans="1:27" ht="15.75" customHeight="1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spans="1:27" ht="15.75" customHeight="1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spans="1:27" ht="15.75" customHeight="1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spans="1:27" ht="15.75" customHeight="1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spans="1:27" ht="15.75" customHeight="1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spans="1:27" ht="15.75" customHeight="1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spans="1:27" ht="15.75" customHeight="1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spans="1:27" ht="15.75" customHeight="1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spans="1:27" ht="15.75" customHeight="1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spans="1:27" ht="15.75" customHeight="1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spans="1:27" ht="15.75" customHeight="1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spans="1:27" ht="15.75" customHeight="1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spans="1:27" ht="15.75" customHeight="1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spans="1:27" ht="15.75" customHeight="1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spans="1:27" ht="15.75" customHeight="1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spans="1:27" ht="15.75" customHeight="1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spans="1:27" ht="15.75" customHeight="1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spans="1:27" ht="15.75" customHeight="1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spans="1:27" ht="15.75" customHeight="1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spans="1:27" ht="15.75" customHeight="1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spans="1:27" ht="15.75" customHeight="1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spans="1:27" ht="15.75" customHeight="1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spans="1:27" ht="15.75" customHeight="1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spans="1:27" ht="15.75" customHeight="1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spans="1:27" ht="15.75" customHeight="1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spans="1:27" ht="15.75" customHeight="1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spans="1:27" ht="15.75" customHeight="1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spans="1:27" ht="15.75" customHeight="1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spans="1:27" ht="15.75" customHeight="1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spans="1:27" ht="15.75" customHeight="1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spans="1:27" ht="15.75" customHeight="1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spans="1:27" ht="15.75" customHeight="1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spans="1:27" ht="15.75" customHeight="1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spans="1:27" ht="15.75" customHeight="1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spans="1:27" ht="15.75" customHeight="1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spans="1:27" ht="15.75" customHeight="1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spans="1:27" ht="15.75" customHeight="1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spans="1:27" ht="15.75" customHeight="1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spans="1:27" ht="15.75" customHeight="1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spans="1:27" ht="15.75" customHeight="1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spans="1:27" ht="15.75" customHeight="1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spans="1:27" ht="15.75" customHeight="1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spans="1:27" ht="15.75" customHeight="1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spans="1:27" ht="15.75" customHeight="1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spans="1:27" ht="15.75" customHeight="1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spans="1:27" ht="15.75" customHeight="1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spans="1:27" ht="15.75" customHeight="1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spans="1:27" ht="15.75" customHeight="1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spans="1:27" ht="15.75" customHeight="1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spans="1:27" ht="15.75" customHeight="1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spans="1:27" ht="15.75" customHeight="1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spans="1:27" ht="15.75" customHeight="1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spans="1:27" ht="15.75" customHeight="1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spans="1:27" ht="15.75" customHeight="1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spans="1:27" ht="15.75" customHeight="1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spans="1:27" ht="15.75" customHeight="1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spans="1:27" ht="15.75" customHeight="1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spans="1:27" ht="15.75" customHeight="1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spans="1:27" ht="15.75" customHeight="1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spans="1:27" ht="15.75" customHeight="1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spans="1:27" ht="15.75" customHeight="1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spans="1:27" ht="15.75" customHeight="1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spans="1:27" ht="15.75" customHeight="1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spans="1:27" ht="15.75" customHeight="1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spans="1:27" ht="15.75" customHeight="1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spans="1:27" ht="15.75" customHeight="1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spans="1:27" ht="15.75" customHeight="1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spans="1:27" ht="15.75" customHeight="1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spans="1:27" ht="15.75" customHeight="1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spans="1:27" ht="15.75" customHeight="1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spans="1:27" ht="15.75" customHeight="1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spans="1:27" ht="15.75" customHeight="1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spans="1:27" ht="15.75" customHeight="1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spans="1:27" ht="15.75" customHeight="1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spans="1:27" ht="15.75" customHeight="1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spans="1:27" ht="15.75" customHeight="1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spans="1:27" ht="15.75" customHeight="1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spans="1:27" ht="15.75" customHeight="1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spans="1:27" ht="15.75" customHeight="1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spans="1:27" ht="15.75" customHeight="1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spans="1:27" ht="15.75" customHeight="1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spans="1:27" ht="15.75" customHeight="1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spans="1:27" ht="15.75" customHeight="1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spans="1:27" ht="15.75" customHeight="1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spans="1:27" ht="15.75" customHeight="1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spans="1:27" ht="15.75" customHeight="1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spans="1:27" ht="15.75" customHeight="1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spans="1:27" ht="15.75" customHeight="1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spans="1:27" ht="15.75" customHeight="1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spans="1:27" ht="15.75" customHeight="1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spans="1:27" ht="15.75" customHeight="1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spans="1:27" ht="15.75" customHeight="1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spans="1:27" ht="15.75" customHeight="1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spans="1:27" ht="15.75" customHeight="1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spans="1:27" ht="15.75" customHeight="1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spans="1:27" ht="15.75" customHeight="1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spans="1:27" ht="15.75" customHeight="1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spans="1:27" ht="15.75" customHeight="1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spans="1:27" ht="15.75" customHeight="1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spans="1:27" ht="15.75" customHeight="1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spans="1:27" ht="15.75" customHeight="1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spans="1:27" ht="15.75" customHeight="1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spans="1:27" ht="15.75" customHeight="1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spans="1:27" ht="15.75" customHeight="1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spans="1:27" ht="15.75" customHeight="1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spans="1:27" ht="15.75" customHeight="1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spans="1:27" ht="15.75" customHeight="1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spans="1:27" ht="15.75" customHeight="1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spans="1:27" ht="15.75" customHeight="1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spans="1:27" ht="15.75" customHeight="1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spans="1:27" ht="15.75" customHeight="1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spans="1:27" ht="15.75" customHeight="1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spans="1:27" ht="15.75" customHeight="1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spans="1:27" ht="15.75" customHeight="1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spans="1:27" ht="15.75" customHeight="1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spans="1:27" ht="15.75" customHeight="1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spans="1:27" ht="15.75" customHeight="1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spans="1:27" ht="15.75" customHeight="1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spans="1:27" ht="15.75" customHeight="1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spans="1:27" ht="15.75" customHeight="1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spans="1:27" ht="15.75" customHeight="1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spans="1:27" ht="15.75" customHeight="1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spans="1:27" ht="15.75" customHeight="1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spans="1:27" ht="15.75" customHeight="1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spans="1:27" ht="15.75" customHeight="1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spans="1:27" ht="15.75" customHeight="1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spans="1:27" ht="15.75" customHeight="1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spans="1:27" ht="15.75" customHeight="1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spans="1:27" ht="15.75" customHeight="1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spans="1:27" ht="15.75" customHeight="1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spans="1:27" ht="15.75" customHeight="1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spans="1:27" ht="15.75" customHeight="1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spans="1:27" ht="15.75" customHeight="1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spans="1:27" ht="15.75" customHeight="1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spans="1:27" ht="15.75" customHeight="1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spans="1:27" ht="15.75" customHeight="1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spans="1:27" ht="15.75" customHeight="1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spans="1:27" ht="15.75" customHeight="1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spans="1:27" ht="15.75" customHeight="1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spans="1:27" ht="15.75" customHeight="1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spans="1:27" ht="15.75" customHeight="1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spans="1:27" ht="15.75" customHeight="1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spans="1:27" ht="15.75" customHeight="1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spans="1:27" ht="15.75" customHeight="1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spans="1:27" ht="15.75" customHeight="1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spans="1:27" ht="15.75" customHeight="1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spans="1:27" ht="15.75" customHeight="1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spans="1:27" ht="15.75" customHeight="1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spans="1:27" ht="15.75" customHeight="1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spans="1:27" ht="15.75" customHeight="1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spans="1:27" ht="15.75" customHeight="1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spans="1:27" ht="15.75" customHeight="1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spans="1:27" ht="15.75" customHeight="1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spans="1:27" ht="15.75" customHeight="1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spans="1:27" ht="15.75" customHeight="1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spans="1:27" ht="15.75" customHeight="1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spans="1:27" ht="15.75" customHeight="1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spans="1:27" ht="15.75" customHeight="1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spans="1:27" ht="15.75" customHeight="1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spans="1:27" ht="15.75" customHeight="1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spans="1:27" ht="15.75" customHeight="1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spans="1:27" ht="15.75" customHeight="1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spans="1:27" ht="15.75" customHeight="1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spans="1:27" ht="15.75" customHeight="1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spans="1:27" ht="15.75" customHeight="1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spans="1:27" ht="15.75" customHeight="1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spans="1:27" ht="15.75" customHeight="1" x14ac:dyDescent="0.2"/>
    <row r="301" spans="1:27" ht="15.75" customHeight="1" x14ac:dyDescent="0.2"/>
    <row r="302" spans="1:27" ht="15.75" customHeight="1" x14ac:dyDescent="0.2"/>
    <row r="303" spans="1:27" ht="15.75" customHeight="1" x14ac:dyDescent="0.2"/>
    <row r="304" spans="1:2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34:C34"/>
    <mergeCell ref="A1:C1"/>
    <mergeCell ref="F1:K1"/>
    <mergeCell ref="M1:R1"/>
    <mergeCell ref="F10:K10"/>
    <mergeCell ref="N10:S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Costing table</vt:lpstr>
      <vt:lpstr>Financial Table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</dc:creator>
  <cp:lastModifiedBy>Atherley, Valerie</cp:lastModifiedBy>
  <dcterms:created xsi:type="dcterms:W3CDTF">2026-01-05T19:18:31Z</dcterms:created>
  <dcterms:modified xsi:type="dcterms:W3CDTF">2026-01-05T19:18:32Z</dcterms:modified>
</cp:coreProperties>
</file>